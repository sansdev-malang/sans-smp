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mc:AlternateContent xmlns:mc="http://schemas.openxmlformats.org/markup-compatibility/2006">
    <mc:Choice Requires="x15">
      <x15ac:absPath xmlns:x15ac="http://schemas.microsoft.com/office/spreadsheetml/2010/11/ac" url="C:\Users\IHWAN\Project\sans-smp\public\"/>
    </mc:Choice>
  </mc:AlternateContent>
  <xr:revisionPtr revIDLastSave="0" documentId="13_ncr:1_{42B3B393-A9F0-42AD-ADAA-6B11D3B6EF80}" xr6:coauthVersionLast="46" xr6:coauthVersionMax="47" xr10:uidLastSave="{00000000-0000-0000-0000-000000000000}"/>
  <bookViews>
    <workbookView xWindow="-120" yWindow="-120" windowWidth="29040" windowHeight="15720" xr2:uid="{00000000-000D-0000-FFFF-FFFF00000000}"/>
  </bookViews>
  <sheets>
    <sheet name="MASTER" sheetId="1" r:id="rId1"/>
    <sheet name="GF" sheetId="2" r:id="rId2"/>
  </sheets>
  <definedNames>
    <definedName name="_xlnm._FilterDatabase" localSheetId="0">MASTER!$A$1:$DH$14</definedName>
  </definedNames>
  <calcPr calcId="191029"/>
</workbook>
</file>

<file path=xl/calcChain.xml><?xml version="1.0" encoding="utf-8"?>
<calcChain xmlns="http://schemas.openxmlformats.org/spreadsheetml/2006/main">
  <c r="BL8" i="1" l="1"/>
  <c r="S8" i="1"/>
  <c r="S4" i="1"/>
  <c r="S5" i="1"/>
  <c r="S6" i="1"/>
  <c r="S7" i="1"/>
  <c r="S9" i="1"/>
  <c r="S10" i="1"/>
  <c r="S11" i="1"/>
  <c r="S12" i="1"/>
  <c r="S3" i="1"/>
  <c r="S2" i="1"/>
  <c r="S15" i="1"/>
  <c r="S14" i="1"/>
  <c r="S13" i="1"/>
  <c r="BL15" i="1"/>
  <c r="BL14" i="1"/>
  <c r="BL13" i="1"/>
  <c r="BL12" i="1"/>
  <c r="BL11" i="1"/>
  <c r="BL10" i="1"/>
  <c r="BL9" i="1"/>
  <c r="BL7" i="1"/>
  <c r="BL6" i="1"/>
  <c r="BL4" i="1"/>
  <c r="BL3" i="1"/>
  <c r="BL2" i="1"/>
</calcChain>
</file>

<file path=xl/sharedStrings.xml><?xml version="1.0" encoding="utf-8"?>
<sst xmlns="http://schemas.openxmlformats.org/spreadsheetml/2006/main" count="2694" uniqueCount="1039">
  <si>
    <t>Timestamp</t>
  </si>
  <si>
    <t>Email Address</t>
  </si>
  <si>
    <t>NAMA LENGKAP (sesuai Akta Kelahiran)</t>
  </si>
  <si>
    <t>NAMA PANGGILAN</t>
  </si>
  <si>
    <t>NIK ANANDA</t>
  </si>
  <si>
    <t>NO. KARTU KELUARGA</t>
  </si>
  <si>
    <t>JENIS KELAMIN</t>
  </si>
  <si>
    <t>TEMPAT LAHIR</t>
  </si>
  <si>
    <t>TANGGAL LAHIR</t>
  </si>
  <si>
    <t>JENIS PESERTA DIDIK</t>
  </si>
  <si>
    <t>JENIS KETUNAAN (KHUSUS MBK)</t>
  </si>
  <si>
    <t>ALAMAT RUMAH</t>
  </si>
  <si>
    <t>RT</t>
  </si>
  <si>
    <t>RW</t>
  </si>
  <si>
    <t>KELURAHAN</t>
  </si>
  <si>
    <t>KECAMATAN</t>
  </si>
  <si>
    <t>KABUPATEN/KOTA</t>
  </si>
  <si>
    <t>KODEPOS</t>
  </si>
  <si>
    <t>NO. TELEPON RUMAH</t>
  </si>
  <si>
    <t>NO. HANDPHONE</t>
  </si>
  <si>
    <t>NAMA AYAH KANDUNG (wajib sesuai Akta Kelahiran)</t>
  </si>
  <si>
    <t>NAMA IBU KANDUNG (wajib sesuai Akta Kelahiran)</t>
  </si>
  <si>
    <t>ANAK KE</t>
  </si>
  <si>
    <t>JUMLAH SAUDARA KANDUNG</t>
  </si>
  <si>
    <t>JUMLAH SAUDARA TIRI</t>
  </si>
  <si>
    <t>JUMLAH SAUDARA ANGKAT</t>
  </si>
  <si>
    <t>BAHASA KESEHARIAN DI KELUARGA</t>
  </si>
  <si>
    <t>KEWARGANEGARAAN</t>
  </si>
  <si>
    <t>AGAMA</t>
  </si>
  <si>
    <t>SUKU BANGSA</t>
  </si>
  <si>
    <t>BERAT BADAN (satuan kg)</t>
  </si>
  <si>
    <t>TINGGI BADAN (satuan cm)</t>
  </si>
  <si>
    <t>GOLONGAN DARAH</t>
  </si>
  <si>
    <t>WARNA KULIT</t>
  </si>
  <si>
    <t>BENTUK RAMBUT</t>
  </si>
  <si>
    <t>WARNA RAMBUT</t>
  </si>
  <si>
    <t>NAMA LENGKAP AYAH KANDUNG (beserta gelar)</t>
  </si>
  <si>
    <t>TEMPAT LAHIR AYAH</t>
  </si>
  <si>
    <t>TANGGAL LAHIR AYAH</t>
  </si>
  <si>
    <t>NIK AYAH</t>
  </si>
  <si>
    <t>ALAMAT TEMPAT TINGGAL AYAH</t>
  </si>
  <si>
    <t>RT 2</t>
  </si>
  <si>
    <t>RW 2</t>
  </si>
  <si>
    <t>KELURAHAN 2</t>
  </si>
  <si>
    <t>KECAMATAN 2</t>
  </si>
  <si>
    <t>KABUPATEN/KOTA 2</t>
  </si>
  <si>
    <t>KODE POS</t>
  </si>
  <si>
    <t>KEWARGANEGARAAN 2</t>
  </si>
  <si>
    <t>AGAMA AYAH</t>
  </si>
  <si>
    <t>NO. HANDPHONE AYAH</t>
  </si>
  <si>
    <t>PENDIDIKAN TERAKHIR AYAH</t>
  </si>
  <si>
    <t>PEKERJAAN AYAH</t>
  </si>
  <si>
    <t>INSTANSI TEMPAT BEKERJA AYAH</t>
  </si>
  <si>
    <t>ALAMAT LENGKAP INSTANSI BEKERJA AYAH (alamat, RT, RW, kelurahan, kecamatan, kab/kota)</t>
  </si>
  <si>
    <t>NO. TELEPON INSTANSI BEKERJA AYAH</t>
  </si>
  <si>
    <t>PENGHASILAN AYAH PER BULAN</t>
  </si>
  <si>
    <t>EMAIL AYAH</t>
  </si>
  <si>
    <t>AKUN SOSIAL MEDIA (WhatsApp, Facebook, Instagram, Twitter)</t>
  </si>
  <si>
    <t>NAMA LENGKAP IBU KANDUNG (Beserta gelar)</t>
  </si>
  <si>
    <t>TEMPAT LAHIR IBU</t>
  </si>
  <si>
    <t>TANGGAL LAHIR IBU</t>
  </si>
  <si>
    <t>NIK IBU</t>
  </si>
  <si>
    <t>ALAMAT TEMPAT TINGGAL IBU</t>
  </si>
  <si>
    <t>RT 3</t>
  </si>
  <si>
    <t>RW 3</t>
  </si>
  <si>
    <t>KELURAHAN 3</t>
  </si>
  <si>
    <t>KECAMATAN 3</t>
  </si>
  <si>
    <t>KABUPATEN/KOTA 3</t>
  </si>
  <si>
    <t>KODE POS 2</t>
  </si>
  <si>
    <t>KEWARGANEGARAAN 3</t>
  </si>
  <si>
    <t>AGAMA 2</t>
  </si>
  <si>
    <t>NO. HANDPHONE IBU</t>
  </si>
  <si>
    <t>PENDIDIKAN TERAKHIR</t>
  </si>
  <si>
    <t>PEKERJAAN IBU</t>
  </si>
  <si>
    <t>INSTANSI TEMPAT BEKERJA IBU</t>
  </si>
  <si>
    <t>ALAMAT LENGKAP INSTANSI (alamat, RT, RW, kelurahan, kecamatan, kab/kota)</t>
  </si>
  <si>
    <t>NO. TELEPON INSTANSI</t>
  </si>
  <si>
    <t>PENGHASILAN IBU PER BULAN</t>
  </si>
  <si>
    <t>EMAIL IBU</t>
  </si>
  <si>
    <t>AKUN SOSIAL MEDIA (WhatsApp, Facebook, Instagram, Twitter) 2</t>
  </si>
  <si>
    <t>NAMA LENGKAP WALI (beserta gelar)</t>
  </si>
  <si>
    <t>TEMPAT LAHIR WALI</t>
  </si>
  <si>
    <t>TANGGAL LAHIR WALI</t>
  </si>
  <si>
    <t>NIK WALI</t>
  </si>
  <si>
    <t>ALAMAT TEMPAT TINGGAL WALI</t>
  </si>
  <si>
    <t>RT 4</t>
  </si>
  <si>
    <t>RW 4</t>
  </si>
  <si>
    <t>KELURAHAN 4</t>
  </si>
  <si>
    <t>KECAMATAN 4</t>
  </si>
  <si>
    <t>KABUPATEN/KOTA 4</t>
  </si>
  <si>
    <t>KEWARGANEGARAAN 4</t>
  </si>
  <si>
    <t>AGAMA 3</t>
  </si>
  <si>
    <t>NO. HANDPHONE WALI</t>
  </si>
  <si>
    <t>PENDIDIKAN TERAKHIR 2</t>
  </si>
  <si>
    <t>PEKERJAAN WALI</t>
  </si>
  <si>
    <t>INSTANSI TEMPAT BEKERJA WALI</t>
  </si>
  <si>
    <t>ALAMAT LENGKAP INSTANSI (alamat, RT, RW, kelurahan, kecamatan, kab/kot)</t>
  </si>
  <si>
    <t>NO.TELEPON INSTANSI</t>
  </si>
  <si>
    <t>PENGHASILAN WALI PER BULAN</t>
  </si>
  <si>
    <t>EMAIL WALI</t>
  </si>
  <si>
    <t>AKUN SOSIAL MEDIA (WhatsApp, Facebook, Instagram, Twitter) 3</t>
  </si>
  <si>
    <t>SEKOLAH ASAL</t>
  </si>
  <si>
    <t>NAMA SEKOLAH ASAL</t>
  </si>
  <si>
    <t>ALAMAT SEKOLAH ASAL</t>
  </si>
  <si>
    <t>USIA MASUK SD/MI/SPK</t>
  </si>
  <si>
    <t>LAMA PENDIDIKAN DI SD/MI/SPK</t>
  </si>
  <si>
    <t>USIA MASUK SD/MI/SPK (diisi ... tahun ... bulan)</t>
  </si>
  <si>
    <r>
      <t>PELAYANAN KHUSUS YANG PERNAH DITERIMA</t>
    </r>
    <r>
      <rPr>
        <i/>
        <sz val="10"/>
        <color theme="1"/>
        <rFont val="Arial"/>
        <family val="2"/>
      </rPr>
      <t xml:space="preserve">
(contoh: terapi wicara)</t>
    </r>
  </si>
  <si>
    <t>PRESTASI BELAJAR YANG DICAPAI</t>
  </si>
  <si>
    <t>MATERI BELAJAR YANG DIRASA PALING SULIT</t>
  </si>
  <si>
    <t>MATERI BELAJAR YANG DIRASA PALING DISENANGI</t>
  </si>
  <si>
    <t>RUMAH/TEMPAT TINGGAL KELUARGA</t>
  </si>
  <si>
    <t>JUMLAH PENGHUNI RUMAH ( ... dewasa, ... anak-anak)</t>
  </si>
  <si>
    <t>STATUS TEMPAT TINGGAL</t>
  </si>
  <si>
    <t>ANANDA TINGGAL BERSAMA</t>
  </si>
  <si>
    <t>KESEMPATAN BERGAUL DENGAN TEMAN-TEMAN SEBAYANYA</t>
  </si>
  <si>
    <t>IKLIM KEAGAMAAN (ISLAM) DI LINGKUNGAN KELUARGA SEKITAR RUMAH</t>
  </si>
  <si>
    <t>LINGKUNGAN DI SEKITAR RUMAH</t>
  </si>
  <si>
    <t>LINGKUNGAN DI SEKITAR RUMAH 2</t>
  </si>
  <si>
    <t>KEBIASAAN BERMAIN ANANDA</t>
  </si>
  <si>
    <t>TEMPAT BERMAIN ANANDA</t>
  </si>
  <si>
    <t>PARTNER BERMAIN ANANDA</t>
  </si>
  <si>
    <t>ALERGI MAKANAN</t>
  </si>
  <si>
    <t>ALERGI MINUMAN</t>
  </si>
  <si>
    <t>ALERGI OBAT</t>
  </si>
  <si>
    <r>
      <t xml:space="preserve">ALERGI BAHAN MAKANAN </t>
    </r>
    <r>
      <rPr>
        <i/>
        <sz val="10"/>
        <color theme="1"/>
        <rFont val="Arial"/>
        <family val="2"/>
      </rPr>
      <t xml:space="preserve">
(contoh: bawang putih, bawang bombai, tomat)</t>
    </r>
  </si>
  <si>
    <t>HUBUNGAN ANANDA DENGAN AYAH</t>
  </si>
  <si>
    <t>HUBUNGAN ANANDA DENGAN IBU</t>
  </si>
  <si>
    <t>HUBUNGAN ANANDA DENGAN SAUDARA</t>
  </si>
  <si>
    <t>HUBUNGAN ANANDA DENGAN TEMAN SEBAYA</t>
  </si>
  <si>
    <t xml:space="preserve">HUBUNGAN ANANDA SEHARI-HARI PALING ERAT DENGAN </t>
  </si>
  <si>
    <t>KEPATUHAN ANANDA DI RUMAH</t>
  </si>
  <si>
    <t>KARAKTER ATAU SIFAT ANANDA</t>
  </si>
  <si>
    <t>HAL-HAL LAIN MENGENAI TINGKAH LAKU ANANDA DI RUMAH YANG PERLU DIKEMUKAKAN (YANG BAIK)</t>
  </si>
  <si>
    <t>HAL-HAL LAIN MENGENAI TINGKAH LAKU ANANDA DI RUMAH YANG PERLU DIKEMUKAKAN (YANG KURANG BAIK)</t>
  </si>
  <si>
    <t>CITA-CITA ORANGTUA TERHADAP ANANDA</t>
  </si>
  <si>
    <t>KOMPETENSI/KEMAMPUAN HARAPAN ORANGTUA KETIKA ANANDA LULUS SEKOLAH MENENGAH PERTAMA</t>
  </si>
  <si>
    <t>SEKOLAH MENENGAH ATAS YANG DIRENCANAKAN SETELAH ANANDA LULUS SEKOLAH MENENGAH PERTAMA</t>
  </si>
  <si>
    <t>JARAK TEMPAT TINGGAL KE SEKOLAH (satuan km)</t>
  </si>
  <si>
    <t>AKOMODASI KE SEKOLAH</t>
  </si>
  <si>
    <t>ORANG YANG DIPERCAYA MENGANTAR/MENJEMPUT ANANDA</t>
  </si>
  <si>
    <t>PESAN ORANGTUA KEPADA KEPALA / GURU SMP ANAK SALEH</t>
  </si>
  <si>
    <t>CARA MENGHUBUNGI JIKA DALAM KEADAAN DARURAT</t>
  </si>
  <si>
    <t>SARAN-SARAN ORANGTUA KEPADA SEKOLAH</t>
  </si>
  <si>
    <t>novimaya1777@gmail.com</t>
  </si>
  <si>
    <t>RAYYANDRA ABYAN AFKHAR</t>
  </si>
  <si>
    <t>RAYYAN</t>
  </si>
  <si>
    <t>3573011707130001</t>
  </si>
  <si>
    <t>3573013008130001</t>
  </si>
  <si>
    <t>LAKI-LAKI</t>
  </si>
  <si>
    <t>Malang</t>
  </si>
  <si>
    <t>REGULER</t>
  </si>
  <si>
    <t>-</t>
  </si>
  <si>
    <t>Perum De Prima blok AA no 13</t>
  </si>
  <si>
    <t>Tugulwulung</t>
  </si>
  <si>
    <t>Lowokwaru</t>
  </si>
  <si>
    <t>Kota Malang</t>
  </si>
  <si>
    <t>08111717515</t>
  </si>
  <si>
    <t>YARI YUDHO PURWANTO</t>
  </si>
  <si>
    <t>NOVI DIANA MAYA SARI</t>
  </si>
  <si>
    <t>Indonesia</t>
  </si>
  <si>
    <t>WARGA NEGARA INDONESIA</t>
  </si>
  <si>
    <t>ISLAM</t>
  </si>
  <si>
    <t>Jawa</t>
  </si>
  <si>
    <t>O</t>
  </si>
  <si>
    <t>SAWO MATANG</t>
  </si>
  <si>
    <t>BERGELOMBANG</t>
  </si>
  <si>
    <t>HITAM</t>
  </si>
  <si>
    <t>YARI YUDHO PURWANTO ST. MM</t>
  </si>
  <si>
    <t>Madiun</t>
  </si>
  <si>
    <t>3573011601700009</t>
  </si>
  <si>
    <t>Tunggulwulung</t>
  </si>
  <si>
    <t>Polowijen</t>
  </si>
  <si>
    <t>Islam</t>
  </si>
  <si>
    <t>S2</t>
  </si>
  <si>
    <t>Pensiunan BNI</t>
  </si>
  <si>
    <t>yariyudhop@gmail.com</t>
  </si>
  <si>
    <t>WhasApp, Instagram</t>
  </si>
  <si>
    <t>NOVI DIANA MAYA SARI SE</t>
  </si>
  <si>
    <t>3573015711770008</t>
  </si>
  <si>
    <t>Perum De Prima AA no 13</t>
  </si>
  <si>
    <t>Kotq Malang</t>
  </si>
  <si>
    <t>081334407616</t>
  </si>
  <si>
    <t>S1</t>
  </si>
  <si>
    <t>Tidak bekerja</t>
  </si>
  <si>
    <t>WhatsApp, Instagram</t>
  </si>
  <si>
    <t>SEKOLAH DASAR (SD)</t>
  </si>
  <si>
    <t>SD Anak Saleh no 31 Malang</t>
  </si>
  <si>
    <t>Jl. Arumba</t>
  </si>
  <si>
    <t>7 TAHUN</t>
  </si>
  <si>
    <t>6 TAHUN</t>
  </si>
  <si>
    <t>2020, juli</t>
  </si>
  <si>
    <t>Terapi wicara, okupasi</t>
  </si>
  <si>
    <t>BAIK</t>
  </si>
  <si>
    <t>LITERASI</t>
  </si>
  <si>
    <t>NUMERASI</t>
  </si>
  <si>
    <t>BERSAMA KELUARGA INTI</t>
  </si>
  <si>
    <t>4 dewasa 1 anak</t>
  </si>
  <si>
    <t>MILIK SENDIRI</t>
  </si>
  <si>
    <t>ORANGTUA</t>
  </si>
  <si>
    <t>SAMA SEKALI TIDAK ADA</t>
  </si>
  <si>
    <t>CUKUP</t>
  </si>
  <si>
    <t>ADA MASJID</t>
  </si>
  <si>
    <t>PERUMAHAN</t>
  </si>
  <si>
    <t>PERMAINAN MODERN</t>
  </si>
  <si>
    <t>DI RUMAH</t>
  </si>
  <si>
    <t>SAUDARA</t>
  </si>
  <si>
    <t>ERAT</t>
  </si>
  <si>
    <t>AYAH</t>
  </si>
  <si>
    <t>PERIANG</t>
  </si>
  <si>
    <t>Penurut</t>
  </si>
  <si>
    <t>Malas</t>
  </si>
  <si>
    <t>Menjadi anak sholeh dan mandiri</t>
  </si>
  <si>
    <t>Berpengetahuan dan memiliki adab yang baik</t>
  </si>
  <si>
    <t>Sma negeri</t>
  </si>
  <si>
    <t>2,6 km</t>
  </si>
  <si>
    <t>ANTAR JEMPUT SEKOLAH</t>
  </si>
  <si>
    <t>Antar jemput sekolah</t>
  </si>
  <si>
    <t xml:space="preserve">Sabar dan komunikatif </t>
  </si>
  <si>
    <t>WhatsApp</t>
  </si>
  <si>
    <t>Buku dibawa pulang dan diberi tugas di rumah (pr). Tidak ada tugas tidak mau belajar dan orang tua tidak tau pelajarannya sampai mana. 
Pemberitahuan kepada orang tua jangan mendadak dan jangan terlalu lama karena orang tua juga sering lupa</t>
  </si>
  <si>
    <t>pungkas.rahmaputri@gmail.com</t>
  </si>
  <si>
    <t>ANDRA PRASETYA WIRYANANTA</t>
  </si>
  <si>
    <t>NANTA</t>
  </si>
  <si>
    <t>3507240402140002</t>
  </si>
  <si>
    <t>3507241211130010</t>
  </si>
  <si>
    <t>MALANG</t>
  </si>
  <si>
    <t>JL. PERUSAHAAN GG 4 NO 7</t>
  </si>
  <si>
    <t>001</t>
  </si>
  <si>
    <t>008</t>
  </si>
  <si>
    <t>TUNJUNGTIRTO</t>
  </si>
  <si>
    <t>SINGOSARI</t>
  </si>
  <si>
    <t>081937050607</t>
  </si>
  <si>
    <t>BENNY SETIAWAN</t>
  </si>
  <si>
    <t>PUNGKAS HARDIKARAHMAPUTRI</t>
  </si>
  <si>
    <t>BAHASA INDONESIA</t>
  </si>
  <si>
    <t>JAWA</t>
  </si>
  <si>
    <t>32 KG</t>
  </si>
  <si>
    <t>TIDAK TAHU</t>
  </si>
  <si>
    <t>LURUS</t>
  </si>
  <si>
    <t>BENNY SETIAWAN, S.Kom</t>
  </si>
  <si>
    <t>LAMONGAN</t>
  </si>
  <si>
    <t>3507243011830002</t>
  </si>
  <si>
    <t>08170530607</t>
  </si>
  <si>
    <t>KARYAWAN SWASTA</t>
  </si>
  <si>
    <t>PT. JALIN MITRA SEJATI</t>
  </si>
  <si>
    <t>JL. KI HAJAR DEWANTARA NO. 1 KOTA PASURUAN</t>
  </si>
  <si>
    <t>0343-420555</t>
  </si>
  <si>
    <t>9.000.000</t>
  </si>
  <si>
    <t>benny.setiawan.9@gmail.com</t>
  </si>
  <si>
    <t xml:space="preserve">IG: @masbhen_id </t>
  </si>
  <si>
    <t>PUNGKAS HARDIKARAHMAPUTRI, SE</t>
  </si>
  <si>
    <t>PASURUAN</t>
  </si>
  <si>
    <t>3575034205900001</t>
  </si>
  <si>
    <t>PT. UTAMA PANGAN SEJATI</t>
  </si>
  <si>
    <t>JL. LAKSAMANA MARTADINATA NO. 83 KOTA MALANG</t>
  </si>
  <si>
    <t>0341 - 3031372</t>
  </si>
  <si>
    <t>5.000.000</t>
  </si>
  <si>
    <t>IG: pungkas.rahmaputri</t>
  </si>
  <si>
    <t>SD ANAK SALEH</t>
  </si>
  <si>
    <t>JL. ARUMBA NO. 31 KOTA MALANG</t>
  </si>
  <si>
    <t>&gt;6 TAHUN</t>
  </si>
  <si>
    <t>6 tahun 5 bulan</t>
  </si>
  <si>
    <t>SPORT</t>
  </si>
  <si>
    <t>2 DEWASA 2 ANAK-ANAK</t>
  </si>
  <si>
    <t>SANGAT SEHAT</t>
  </si>
  <si>
    <t>KEDUANYA</t>
  </si>
  <si>
    <t>TEMAN SEBAYA</t>
  </si>
  <si>
    <t>IBU</t>
  </si>
  <si>
    <t>PEMALU, PERIANG, PENERTAWA</t>
  </si>
  <si>
    <t>JIka Disuruh selalu di lakukan, sudah punya tanggung jawab, sayang dan bisa momong adiknya</t>
  </si>
  <si>
    <t>terlalu suka klarifikasi (meweli), kurang rajin dan kurang peka terhadap pekerjaan rumah</t>
  </si>
  <si>
    <t>selalu taat dan berakhlak baik terhadap ortu lingkungan sekitar, sampai besar nanti. Sukses dunia dan akhirat. Terwujud apa yang di impikannya. Semakin dekat dengan Tuhannya ( dari segi ibadah dll). karna bagi kami sebagai ortu cita2 tidak selalu menjadi orang berprofesi... namun bisa bermanfaat bagi orang tua dan orang lain.. bangga juga tidak selalu berprofesi, melainkan menjadi anak yang bernilai, berwibawa dan berbudi pekerti</t>
  </si>
  <si>
    <t>Menjadi lebih pandai dan menambah pengetahuan, baik nasional maupun internasional.</t>
  </si>
  <si>
    <t xml:space="preserve">SMA Islam Sabilillah, SMA Taruna Nusantara </t>
  </si>
  <si>
    <t>3,7 km</t>
  </si>
  <si>
    <t>SEPEDA MOTOR</t>
  </si>
  <si>
    <t>tetangga</t>
  </si>
  <si>
    <t xml:space="preserve">kami titip anak kami, mohon bantuan dan kerjasamanya dalam mendidik anak kami, saya yakin setiap ortu menginginkan yang terbaik untuk anak2nya. Saya harap tidak ada deskriminasi semua memperlakukan siswanya sama. </t>
  </si>
  <si>
    <t>Telpon atau datang ke Rumah kami, dai Graha Pulomas Blok B7 kepuharjo karangploso</t>
  </si>
  <si>
    <t>ini adalah ajaran pertama, semoga semangat guru2 di awal ajaran sangat mempengaruhi dan menjadikan siswa juga semakin semangat</t>
  </si>
  <si>
    <t>multimedianuhajsm@gmail.com</t>
  </si>
  <si>
    <t>ATFA KULTHOUM AL LABIBA</t>
  </si>
  <si>
    <t>ATFA</t>
  </si>
  <si>
    <t>3573035512120006</t>
  </si>
  <si>
    <t>3573031008073969</t>
  </si>
  <si>
    <t>PEREMPUAN</t>
  </si>
  <si>
    <t>MBK (BERKEBUTUHAN KHUSUS)</t>
  </si>
  <si>
    <t>Mild Neurocognitive Disorder Due to Traumatic  Brain Injury</t>
  </si>
  <si>
    <t>Jl. Joyosuko Metro, Gg. 3, No. 34</t>
  </si>
  <si>
    <t>Merjosari</t>
  </si>
  <si>
    <t>082144126162</t>
  </si>
  <si>
    <t>ISROQUNNAJAH</t>
  </si>
  <si>
    <t>ISMATUD DINIYAH</t>
  </si>
  <si>
    <t>INDONESIA</t>
  </si>
  <si>
    <t>KUNING LANGSAT</t>
  </si>
  <si>
    <t>Dr. H. ISROQUNNAJAH, M.Ag</t>
  </si>
  <si>
    <t>3573031802670007</t>
  </si>
  <si>
    <t>Jl. Joyosuko Metro, Gg 3, No. 34</t>
  </si>
  <si>
    <t>081249902884</t>
  </si>
  <si>
    <t>S3</t>
  </si>
  <si>
    <t>Dosen</t>
  </si>
  <si>
    <t>UIN Maulana Malik Ibrahim Malang</t>
  </si>
  <si>
    <t>Jl. Gajayana, No. 50, Lowokwaru, Kota Malang</t>
  </si>
  <si>
    <t>(0341) 551354</t>
  </si>
  <si>
    <t>Rp 6.000.000</t>
  </si>
  <si>
    <t>abinala@syariah.uin-malang.ac.id</t>
  </si>
  <si>
    <t>@muhammad_isyroqunnajach</t>
  </si>
  <si>
    <t>3573034301760006</t>
  </si>
  <si>
    <t>SMA/SMK SEDERAJAT</t>
  </si>
  <si>
    <t>Guru</t>
  </si>
  <si>
    <t>fatima.zaynaba@gmail.com</t>
  </si>
  <si>
    <t>@isma_dinia</t>
  </si>
  <si>
    <t>Dr. H. Isroqunnajah, M.Ag</t>
  </si>
  <si>
    <t>Jl. Arumba No.31, Tunggulwulung, Kec. Lowokwaru, Kota Malang, Jawa Timur 65143</t>
  </si>
  <si>
    <t>&gt;7 TAHUN</t>
  </si>
  <si>
    <t>7 Tahun 6 Bulan</t>
  </si>
  <si>
    <t>Terapi saraf</t>
  </si>
  <si>
    <t>NUMERASI, LITERASI, DAN SPORT</t>
  </si>
  <si>
    <t>SENI</t>
  </si>
  <si>
    <t>4 dewasa 2 anak-anak</t>
  </si>
  <si>
    <t>MILIK ORANGTUA</t>
  </si>
  <si>
    <t>KURANG</t>
  </si>
  <si>
    <t>ADA MASJID, ADA TPQ (RADIUS 300 METER), ADA PONDOK PESANTREN</t>
  </si>
  <si>
    <t>PESANTREN</t>
  </si>
  <si>
    <t>Mbak Santri</t>
  </si>
  <si>
    <t>Tidak ada</t>
  </si>
  <si>
    <t>Tidak Ada</t>
  </si>
  <si>
    <t>Ananda sudah terbiasa melakukan kegiatan harian dengan disiplin dan teratur, termasuk sholat jama'ah 5 waktu dan muroja'ah setiap malam. Ananda juga sangat gemar menggambar karakter animasi disetiap waktu luang dengan kualitas yang cukup baik.</t>
  </si>
  <si>
    <t>Ananda belum sepenuhnya mandiri dan sedikit ngalem, karena kendala motorik beberapa aktivitas masih membutuhkan bantuan orang lain</t>
  </si>
  <si>
    <t>Semoga ananda senantiasa sehat, pulih, sholihah, dan bisa beraktivitas dan bersosialisasi seperti anak-anak lain.</t>
  </si>
  <si>
    <t>Ananda lebih berani bersosialisasi dengan orang lain, bisa literasi dan numerasi dengan lebih baik.</t>
  </si>
  <si>
    <t>Kalau Yayasan Anak Saleh membuka SMA, barangkali ananda juga akan sekolah di sana.</t>
  </si>
  <si>
    <t>4 KM</t>
  </si>
  <si>
    <t>MOBIL</t>
  </si>
  <si>
    <t>AYAH/IBU SENDIRI, SOPIR PRIBADI</t>
  </si>
  <si>
    <t>Saya yakin pihak sekolah akan melakukan yang terbaik untuk ananda, terima kasih banyak atas kesempatan yang diberikan pihak sekolah terhadap penerimaan ananda.</t>
  </si>
  <si>
    <t>Telfon di whatsapp orang tua 082144126162</t>
  </si>
  <si>
    <t>Semoga SMP Anak Saleh senantiasa berkomitmen untuk membimbing dengan tulus anak-anak special seperti ananda. Terima kasih banyak.</t>
  </si>
  <si>
    <t>dinsniffer@gmail.com</t>
  </si>
  <si>
    <t>Muhammad Athar Al Naja</t>
  </si>
  <si>
    <t>Athar</t>
  </si>
  <si>
    <t>3573052507130005</t>
  </si>
  <si>
    <t>3573050507110039</t>
  </si>
  <si>
    <t>Speech sound disorder</t>
  </si>
  <si>
    <t>Jl. Bukit Hijau Blok A/1A</t>
  </si>
  <si>
    <t>01</t>
  </si>
  <si>
    <t>09</t>
  </si>
  <si>
    <t>Tlogomas</t>
  </si>
  <si>
    <t>082220004744</t>
  </si>
  <si>
    <t>Denny Ari Setyawan, S. Kom</t>
  </si>
  <si>
    <t>Dwi Retno Pratiwi</t>
  </si>
  <si>
    <t>2 (Dua)</t>
  </si>
  <si>
    <t>Suku Jawa</t>
  </si>
  <si>
    <t>36 kg</t>
  </si>
  <si>
    <t>148 cm</t>
  </si>
  <si>
    <t>Denny Ari Setyawan S. Kom</t>
  </si>
  <si>
    <t>3573051008870004</t>
  </si>
  <si>
    <t>085646666744</t>
  </si>
  <si>
    <t>Wirausaha</t>
  </si>
  <si>
    <t>Stafa Apparel</t>
  </si>
  <si>
    <t>Jl. Simpang Gajayana no. 611 Kav. K, L, M Dinoyo, kec. Lowokwaru Malang</t>
  </si>
  <si>
    <t>Kurang lebih 10jt / bulan</t>
  </si>
  <si>
    <t>Exelaz@gmail.com</t>
  </si>
  <si>
    <t>3573056402880004</t>
  </si>
  <si>
    <t>Ibu Rumah Tangga</t>
  </si>
  <si>
    <t>SD Anak Saleh</t>
  </si>
  <si>
    <t>Jl. Arumba no.31</t>
  </si>
  <si>
    <t>7 Tahun</t>
  </si>
  <si>
    <t xml:space="preserve">Semenjak di SD sudah tidak pernah terapi </t>
  </si>
  <si>
    <t>RELIGI</t>
  </si>
  <si>
    <t>3 dewasa 2 anak</t>
  </si>
  <si>
    <t>ADA MASJID, ADA TPQ (RADIUS 300 METER)</t>
  </si>
  <si>
    <t>Dirumah dan diluar rumah</t>
  </si>
  <si>
    <t>Tidak</t>
  </si>
  <si>
    <t>Tidak akan tetapi mengurangi es karena ada radang tenggorokan</t>
  </si>
  <si>
    <t xml:space="preserve">PERIANG, Mudah bergaul </t>
  </si>
  <si>
    <t>Sebelum tidur terbiasa mendengarkan murotal</t>
  </si>
  <si>
    <t>Banyak main game</t>
  </si>
  <si>
    <t>Mampu Berkreasi ataupun Berkarya hal² kecil dulu dengan ide² di kepalanya sesuai dengan keinginannya yang ingin jadi Arsitek.</t>
  </si>
  <si>
    <t>Semoga lebih mudah memahami / menangkap hal² yg disampaikan orgtua ataupun guru. Sehingga ananda mampu mewujudkan n menjalankan cita² nya dengan baik.</t>
  </si>
  <si>
    <t>Sejauh ini masih belum terpikirkan harus ke SMA mana. Harapannya bisa ke SMK.</t>
  </si>
  <si>
    <t>2,2 km</t>
  </si>
  <si>
    <t>KENDARAAN PRIBADI, OJOL</t>
  </si>
  <si>
    <t>AYAH/IBU SENDIRI</t>
  </si>
  <si>
    <t xml:space="preserve">
Semoga Ustadz &amp; Uatadzah selalu bersabar dalam membersamai ananda, namun tetap bersikap tegas dan mohon untuk selalu mengutamakan akidah dan akhlaq agar ananda selalu tumbuh dalam keimanan.</t>
  </si>
  <si>
    <t>Tetap selalu menjaga kualitas pengajaran dan terus memperkuat nilai² keagamaan. Dan selalu meningkatkan ataupun mengontrol fasilitas² sekolah / kelas agar anak semakin nyaman saat proses belajar.</t>
  </si>
  <si>
    <t>kenntama2014@gmail.com</t>
  </si>
  <si>
    <t>Kennzie Sofyan Pratama</t>
  </si>
  <si>
    <t>Kenn</t>
  </si>
  <si>
    <t>3573053001140005</t>
  </si>
  <si>
    <t>3573053004140018</t>
  </si>
  <si>
    <t>Perum Saxofone Land no25</t>
  </si>
  <si>
    <t>002</t>
  </si>
  <si>
    <t>006</t>
  </si>
  <si>
    <t>Jatimulyo</t>
  </si>
  <si>
    <t>089677669800</t>
  </si>
  <si>
    <t>Abu Sofyan, SE</t>
  </si>
  <si>
    <t>Nanik Rahayu, SE</t>
  </si>
  <si>
    <t>Bahasa indonesia dan Jawa</t>
  </si>
  <si>
    <t>Jawa Palu</t>
  </si>
  <si>
    <t>HITAM KECOKLATAN</t>
  </si>
  <si>
    <t>Palu</t>
  </si>
  <si>
    <t>7210080301790001</t>
  </si>
  <si>
    <t>Perum Saxofone Land no.25</t>
  </si>
  <si>
    <t>081252722312</t>
  </si>
  <si>
    <t xml:space="preserve">Karyawan </t>
  </si>
  <si>
    <t>Kartika Sari</t>
  </si>
  <si>
    <t>Jl. Borobudur no. 1</t>
  </si>
  <si>
    <t>10.000.000</t>
  </si>
  <si>
    <t>abhu.sofyan@gmail.com</t>
  </si>
  <si>
    <t>abhu.sofyan</t>
  </si>
  <si>
    <t>Jember</t>
  </si>
  <si>
    <t>3509024111820002</t>
  </si>
  <si>
    <t>IRT</t>
  </si>
  <si>
    <t>Perum Saxofone Land no. 25</t>
  </si>
  <si>
    <t>Tidak berpenghasilan</t>
  </si>
  <si>
    <t>sukakopi</t>
  </si>
  <si>
    <t>SD IT Anak Saleh</t>
  </si>
  <si>
    <t>&lt;6 TAHUN</t>
  </si>
  <si>
    <t>Ipas</t>
  </si>
  <si>
    <t>2 dewasa 1 anak</t>
  </si>
  <si>
    <t>Dihalaman rumah dalam perumahan bersama teman2 sebaya</t>
  </si>
  <si>
    <t>PENERTAWA</t>
  </si>
  <si>
    <t>Rajin membantu orang tua dalam bekerja sama dan bagi tugas membereskan rumah</t>
  </si>
  <si>
    <t>Suka tidak tepat waktu sholat</t>
  </si>
  <si>
    <t>Menjadi anak soleh yang sukses dunia akhirat</t>
  </si>
  <si>
    <t>Mampu mendapatkan sekolah yang bagus untuk mendapatkan pendidikan agama dan akademik yang bagus pula</t>
  </si>
  <si>
    <t xml:space="preserve">MAN </t>
  </si>
  <si>
    <t>1,6km</t>
  </si>
  <si>
    <t>Mendidik ananda dengan kasih sayang</t>
  </si>
  <si>
    <t>Hubungi Ibu</t>
  </si>
  <si>
    <t>Semoga SMP Anak Saleh menjadi jembatan anak menuju kesuksesan dan keberkahan mencari ilmu yg bermanfaat dunia akhirat</t>
  </si>
  <si>
    <t>sugiarto.mlg1282@gmail.com</t>
  </si>
  <si>
    <t xml:space="preserve">Muh. Ghazirul Khair Ramadhan </t>
  </si>
  <si>
    <t>Ghazirul</t>
  </si>
  <si>
    <t>3573051007130002</t>
  </si>
  <si>
    <t>3573051009090028</t>
  </si>
  <si>
    <t xml:space="preserve">Jl. KH. Yusuf 12C RT.03 RW.04 Tasikmadu </t>
  </si>
  <si>
    <t>Tasikmadu</t>
  </si>
  <si>
    <t xml:space="preserve">Lowokwaru </t>
  </si>
  <si>
    <t>081235621256</t>
  </si>
  <si>
    <t>082141993646</t>
  </si>
  <si>
    <t xml:space="preserve">Risa Sugiarto </t>
  </si>
  <si>
    <t xml:space="preserve">Setyarini Yuliawati </t>
  </si>
  <si>
    <t xml:space="preserve">Indonesia </t>
  </si>
  <si>
    <t>KERITING</t>
  </si>
  <si>
    <t>Risa Sugiarto, SE.S.Pd</t>
  </si>
  <si>
    <t>Surabaya</t>
  </si>
  <si>
    <t>3573050812820012</t>
  </si>
  <si>
    <t xml:space="preserve">Jl. KH. Yusuf 12C </t>
  </si>
  <si>
    <t xml:space="preserve">Tasikmadu </t>
  </si>
  <si>
    <t xml:space="preserve">Kota Malang </t>
  </si>
  <si>
    <t xml:space="preserve">SDI WAHID HASYIM </t>
  </si>
  <si>
    <t>Jl. MT. Haryono</t>
  </si>
  <si>
    <t>Setyarini Yuliawati, S.Pd</t>
  </si>
  <si>
    <t xml:space="preserve">Trenggalek </t>
  </si>
  <si>
    <t>3573055707830019</t>
  </si>
  <si>
    <t>SDN Tasikmadu 1</t>
  </si>
  <si>
    <t>Jl. Golf 71</t>
  </si>
  <si>
    <t>4.000.000</t>
  </si>
  <si>
    <t>rhiesasugiarto@gmail.com</t>
  </si>
  <si>
    <t xml:space="preserve">SD Muhammadiyah 4 </t>
  </si>
  <si>
    <t>Jl. Simpang KH. Yusuf</t>
  </si>
  <si>
    <t>7 tahun 0 bulan</t>
  </si>
  <si>
    <t>2 dewasa 2 anak-anak</t>
  </si>
  <si>
    <t>PERKAMPUNGAN</t>
  </si>
  <si>
    <t>SENDIRI</t>
  </si>
  <si>
    <t>Ikan pe</t>
  </si>
  <si>
    <t>Zulfa</t>
  </si>
  <si>
    <t>PEMALU, PENDIAM</t>
  </si>
  <si>
    <t>Pemaaf, selalu ngalah sama temannya</t>
  </si>
  <si>
    <t>Tidak bisa lepas dari handphone, shalatnya perlu diingatkan berulang-ulang</t>
  </si>
  <si>
    <t xml:space="preserve">Menjadi anak yang solih dan sukses dunia akhirat </t>
  </si>
  <si>
    <t>Hafal quran dan berkembang bakat serta minat</t>
  </si>
  <si>
    <t>Sekolah menengah atas yang terbaik</t>
  </si>
  <si>
    <t>OJOL, SEPEDA MOTOR</t>
  </si>
  <si>
    <t>AYAH/IBU SENDIRI, KAKEK, PAMAN</t>
  </si>
  <si>
    <t>1. Harapan kami supaya ananda mendapat pendampingan dan bimbingan yang baik dari pihak sekolah sehingga ilmu yang disampaikan dapat diterima oleh ananda.
2. Menjalin komunikasi yang baik dengan orang tua.</t>
  </si>
  <si>
    <t>Telepon atau WA</t>
  </si>
  <si>
    <t>Melayani dan membimbing ananda dengan penuh kasih sayang serta menciptakan suasana belajar yang nyaman.</t>
  </si>
  <si>
    <t>al.hakim.familia@gmail.com</t>
  </si>
  <si>
    <t>RAYA FAHREZA ALYNDRA AL HAKIM</t>
  </si>
  <si>
    <t>RAYA</t>
  </si>
  <si>
    <t>3573050704140001</t>
  </si>
  <si>
    <t>3573051504140002</t>
  </si>
  <si>
    <t>JL. MT HARYONO XVII/217</t>
  </si>
  <si>
    <t>06</t>
  </si>
  <si>
    <t>DINOYO</t>
  </si>
  <si>
    <t>LOWOKWARU</t>
  </si>
  <si>
    <t>KOTA MALANG</t>
  </si>
  <si>
    <t>085176877681</t>
  </si>
  <si>
    <t>DWI CAHYO SAPUTRO</t>
  </si>
  <si>
    <t>NURIZA FARDIANA DEWI</t>
  </si>
  <si>
    <t>A</t>
  </si>
  <si>
    <t>DWI CAHYO SAPUTRI, Amd, SH</t>
  </si>
  <si>
    <t>MAGELANG</t>
  </si>
  <si>
    <t>2171110310789002</t>
  </si>
  <si>
    <t xml:space="preserve">JL. MT HARYONO XVII/217 </t>
  </si>
  <si>
    <t>083802222123</t>
  </si>
  <si>
    <t>WIRASWASTA</t>
  </si>
  <si>
    <t>NURIZA FARDIANA DEWI, Amd, SH, S Akun</t>
  </si>
  <si>
    <t>PONOROGO</t>
  </si>
  <si>
    <t>2171116803809008</t>
  </si>
  <si>
    <t>08115861128</t>
  </si>
  <si>
    <t>PT RENCANA MULIA BARATAMA</t>
  </si>
  <si>
    <t>KEMBANG JANGGUT, KAB. KUTAI KARTANEGARA, PROV. KALIMANTAN TIMUR</t>
  </si>
  <si>
    <t>nuriza.fd@gmail.com</t>
  </si>
  <si>
    <t>SDN KARANG TENGAH IV</t>
  </si>
  <si>
    <t>JL. RONGGOWARSITO NGAWI</t>
  </si>
  <si>
    <t>12 TAHUN 2 BULAN</t>
  </si>
  <si>
    <t>TEKNOLOGI</t>
  </si>
  <si>
    <t>BERSAMA KAKEK NENEK</t>
  </si>
  <si>
    <t>2 ORANG DEWASA, 1 ORANG REMAJA</t>
  </si>
  <si>
    <t>KAKEK-NENEK</t>
  </si>
  <si>
    <t>PEMALU</t>
  </si>
  <si>
    <t>KREATIF</t>
  </si>
  <si>
    <t>PERASA</t>
  </si>
  <si>
    <t>DAPAT MENINGKATKAN KARAKTER KEPRIBADIAN YANG BAIK DAN DAPAT MENGEMBANGKAN POTENSI YANG DIMILIKI SECARA MAKSIMAL</t>
  </si>
  <si>
    <t>AKADEMIS DAN NON AKADEMIS</t>
  </si>
  <si>
    <t>SMA NEGERI 3 MALANG</t>
  </si>
  <si>
    <t>&lt; 5 KM</t>
  </si>
  <si>
    <t>KAKEK, KAKAK LAKI-LAKI</t>
  </si>
  <si>
    <t>MOHON BANTUANNYA UNTUK DAPAT DIBIMBING DENGAN BAIK</t>
  </si>
  <si>
    <t>DAPAT MENGHUBUNGI NO TELP AYAH (BAIK MELALUI TELP MAUPUN WHATSAPP)</t>
  </si>
  <si>
    <t>MOHON DAPAT DIJAGA, DILINDUNGI DAN DIBIMBING DENGAN BAIK DAN PENUH KASIH SAYANG</t>
  </si>
  <si>
    <t>sharanurfitria@gmail.com</t>
  </si>
  <si>
    <t xml:space="preserve">Muhammad Adzka Habibi Arifin </t>
  </si>
  <si>
    <t>Habibi</t>
  </si>
  <si>
    <t>3276051905140005</t>
  </si>
  <si>
    <t>3376050602140018</t>
  </si>
  <si>
    <t>Depok 19 Mei 2014</t>
  </si>
  <si>
    <t xml:space="preserve">Jl. Nusa Indah Atas no.11A </t>
  </si>
  <si>
    <t>07</t>
  </si>
  <si>
    <t>08</t>
  </si>
  <si>
    <t xml:space="preserve">Malang </t>
  </si>
  <si>
    <t>081381477942</t>
  </si>
  <si>
    <t>Ahmad Rifai Arifin, ST,MM.</t>
  </si>
  <si>
    <t>Shara Nur Fitria, SH.,</t>
  </si>
  <si>
    <t>Bahasa Indonesia</t>
  </si>
  <si>
    <t>42 kg</t>
  </si>
  <si>
    <t>B</t>
  </si>
  <si>
    <t>Mojokerto</t>
  </si>
  <si>
    <t>3573050402890007</t>
  </si>
  <si>
    <t>Jl. Nusa Indah Atas no.11A</t>
  </si>
  <si>
    <t>081288168774</t>
  </si>
  <si>
    <t>Wiraswasta</t>
  </si>
  <si>
    <t xml:space="preserve">PT. Barakah Agung Lestari </t>
  </si>
  <si>
    <t>BP jamsostek lantai 12 kav.gatot subroto,Jakarta</t>
  </si>
  <si>
    <t>02122940916</t>
  </si>
  <si>
    <t>5 juta</t>
  </si>
  <si>
    <t>ahmadrifaiarifin@gmail.com</t>
  </si>
  <si>
    <t>Shara Nur Fitria,SH</t>
  </si>
  <si>
    <t xml:space="preserve">Bogor </t>
  </si>
  <si>
    <t>3276056803930006</t>
  </si>
  <si>
    <t xml:space="preserve">Jl. Nusa indah atas no.11A </t>
  </si>
  <si>
    <t>PT Quinne indonesia</t>
  </si>
  <si>
    <t xml:space="preserve">Jl. Eagle wood street no 72 cibubur </t>
  </si>
  <si>
    <t xml:space="preserve">SD Anak Saleh </t>
  </si>
  <si>
    <t>Jl.Arumba, tunggulwulung Lowokwaru Malang</t>
  </si>
  <si>
    <t>_</t>
  </si>
  <si>
    <t>Bahasa Jawa</t>
  </si>
  <si>
    <t>Sains</t>
  </si>
  <si>
    <t xml:space="preserve">2 dewasa 3 anak </t>
  </si>
  <si>
    <t>BANYAK</t>
  </si>
  <si>
    <t>Udang</t>
  </si>
  <si>
    <t xml:space="preserve">Menjadi anak yg cerdas otaknya, baik perangainya, bermanfaat bagi banyak orang disekitar nya </t>
  </si>
  <si>
    <t xml:space="preserve">Menjadi landasan awal prestasi untuk sukses d SMA terbaik </t>
  </si>
  <si>
    <t xml:space="preserve">SMA 3 Malang </t>
  </si>
  <si>
    <t>3 km</t>
  </si>
  <si>
    <t>Supir antar jemput sekolah</t>
  </si>
  <si>
    <t>ariniekafitria@gmail.com</t>
  </si>
  <si>
    <t>ABIDA AL ADIBA ANJANI</t>
  </si>
  <si>
    <t>ADIBA</t>
  </si>
  <si>
    <t>3573035608130002</t>
  </si>
  <si>
    <t>3573030410110013</t>
  </si>
  <si>
    <t>JL. BENDUNGAN SUTAMI IB NO. 380</t>
  </si>
  <si>
    <t>02</t>
  </si>
  <si>
    <t>SUMBERSARI</t>
  </si>
  <si>
    <t>089669581275</t>
  </si>
  <si>
    <t>ANJAR SATRIA WIBAWA</t>
  </si>
  <si>
    <t>ARINI EKA FITRIA</t>
  </si>
  <si>
    <t>JAWA, INDONESIA, INGGRIS</t>
  </si>
  <si>
    <t>Ns. ANJAR SATRIA WIBAWA, S.Kep.</t>
  </si>
  <si>
    <t>3573032703870003</t>
  </si>
  <si>
    <t>JL. BENDUNGAN SUTAMI IB NO.380</t>
  </si>
  <si>
    <t>0895337255770</t>
  </si>
  <si>
    <t>ASN</t>
  </si>
  <si>
    <t>RS KEMENKES SURABAYA</t>
  </si>
  <si>
    <t>Jl. Indrapura No.17, Krembangan Sel., Kec. Krembangan, Surabaya, Jawa Timur 60164</t>
  </si>
  <si>
    <t>anjars.wibawa@gmail.com</t>
  </si>
  <si>
    <t>whatsapp</t>
  </si>
  <si>
    <t>Ns. ARINI EKA FITRIA, S.Kep</t>
  </si>
  <si>
    <t>BANYUWANGI</t>
  </si>
  <si>
    <t>3573035106860002</t>
  </si>
  <si>
    <t>RSUD Dr. Saiful Anwar Provinsi Jawa Timur</t>
  </si>
  <si>
    <t>Jl. Jaksa Agung Suprapto No.2, Klojen, Kec. Klojen, Kota Malang, Jawa Timur 65112</t>
  </si>
  <si>
    <t>0341362101</t>
  </si>
  <si>
    <t>SD LABORATORIUM UM</t>
  </si>
  <si>
    <t>JL. Bogor no 19 , Sumbersari, Kec. Lowokwaru, Kota Malang, Jawa Timur 65145 Telp .(0341) 557789</t>
  </si>
  <si>
    <t>6 TAHUN 11 BULAN</t>
  </si>
  <si>
    <t>2 DEWASA 4 ANAK-ANAK</t>
  </si>
  <si>
    <t>PEMALU, PENDIAM, PERIANG</t>
  </si>
  <si>
    <t>MENJADI ANAK SHOLEHAH YANG CERDAS DAN BAHAGIA</t>
  </si>
  <si>
    <t>MENGAJI DENGAN PELAFALAN YANG BAIK, LULUS DENGAN NILAI BAIK</t>
  </si>
  <si>
    <t>BELUM TAHU</t>
  </si>
  <si>
    <t>5 KM</t>
  </si>
  <si>
    <t>SOPIR PRIBADI</t>
  </si>
  <si>
    <t xml:space="preserve">MOHON MENGUTAMAKAN KELEMBUTAN DAN TAULADAN BAIK DALAM MEMBIMBING ANAK-ANAK. </t>
  </si>
  <si>
    <t>WA ATAU KIRIM CHAT KE IBU</t>
  </si>
  <si>
    <t>SUDAH BAIK, DAN PERLU DIPERTAHAKAN HAL-HAL BAIK YANG ADA</t>
  </si>
  <si>
    <t>tishai.work@gmail.com</t>
  </si>
  <si>
    <t>Alby Farzani</t>
  </si>
  <si>
    <t>Alby</t>
  </si>
  <si>
    <t>3573052606130004</t>
  </si>
  <si>
    <t>3573051508071295</t>
  </si>
  <si>
    <t>JL.KEDAWUNG IX/06</t>
  </si>
  <si>
    <t>Tulusrejo</t>
  </si>
  <si>
    <t>0816557071</t>
  </si>
  <si>
    <t>Yoyok Setyo Darmojo</t>
  </si>
  <si>
    <t>Heni Jayawati</t>
  </si>
  <si>
    <t>Indonesia - Jawa</t>
  </si>
  <si>
    <t>Yoyok Setyo Damojo S.Kom.</t>
  </si>
  <si>
    <t>3573051504780008</t>
  </si>
  <si>
    <t>JL. KEDAWUNG IX/06</t>
  </si>
  <si>
    <t>+62 813-3391-1147</t>
  </si>
  <si>
    <t>Karyawan Swasta</t>
  </si>
  <si>
    <t>PT NANAKA</t>
  </si>
  <si>
    <t>l. Raya Tangkilsari No.53, Kertowinangun, Tangkilsari, Kec. Tajinan, Kabupaten Malang, Jawa Timur</t>
  </si>
  <si>
    <t>0812-2211-1257</t>
  </si>
  <si>
    <t>3.500.000</t>
  </si>
  <si>
    <t>wa : +62 813-3391-1147</t>
  </si>
  <si>
    <t>Heni Jayawati S.E.</t>
  </si>
  <si>
    <t>JL.KEDAWUNGU IX/06</t>
  </si>
  <si>
    <t>wa : 0816557071</t>
  </si>
  <si>
    <t>Sekolah Dasar Negeri Purwantoro 1</t>
  </si>
  <si>
    <t>Jl. Letjend S. Parman No.67, Purwantoro, Kec. Blimbing, Kota Malang, Jawa Timur 65126</t>
  </si>
  <si>
    <t>2020 Juli</t>
  </si>
  <si>
    <t>Bahasa Inggris</t>
  </si>
  <si>
    <t>2 Dewasa, 3 Anak Anak</t>
  </si>
  <si>
    <t>ADA MASJID, ADA TPQ (RADIUS 300 METER), TIDAK ADA PONDOK PESANTREN</t>
  </si>
  <si>
    <t>Keduanya</t>
  </si>
  <si>
    <t>Semua</t>
  </si>
  <si>
    <t>Keluarga Inti</t>
  </si>
  <si>
    <t>PERIANG, PENANGIS, PERENGEK</t>
  </si>
  <si>
    <t>Nurut dengan Orang Tua</t>
  </si>
  <si>
    <t>Terkadang sholat dan membantu orang tua masih disuruh kurang fokus dlm melakukan sesuatu, belum bisa mandiri</t>
  </si>
  <si>
    <t>Menjadi Anak Sholeh</t>
  </si>
  <si>
    <t>memiliki karakter akhlak mulia, kemandirian dalam hidup, dan kesiapan akademis yang matang untuk melanjutkan studi ke jenjang lanjutan</t>
  </si>
  <si>
    <t>MAN 1 Malang</t>
  </si>
  <si>
    <t>5,1 KM</t>
  </si>
  <si>
    <t>Semoga bisa mendidik ananda menjadi pribadi yang baik adab maupun ilmu</t>
  </si>
  <si>
    <t>mengubungi nomor orang tua (ibu : 0816557071, ayah : +62 813-3391-1147 )</t>
  </si>
  <si>
    <t>Mengembangkan akademik ananda</t>
  </si>
  <si>
    <t>yeniavia10@gmail.com</t>
  </si>
  <si>
    <t xml:space="preserve">Ahmad Thoriq alzanabi </t>
  </si>
  <si>
    <t>Abi</t>
  </si>
  <si>
    <t>35077231509130001</t>
  </si>
  <si>
    <t>3507230405090125</t>
  </si>
  <si>
    <t xml:space="preserve">Jln tanjung sari 2 RT 19 RW 07 Kepuharjo Karangploso Malang </t>
  </si>
  <si>
    <t xml:space="preserve">Kepuharjo </t>
  </si>
  <si>
    <t xml:space="preserve">Karangploso </t>
  </si>
  <si>
    <t>081217474452</t>
  </si>
  <si>
    <t>Siis</t>
  </si>
  <si>
    <t xml:space="preserve">Yeni avia </t>
  </si>
  <si>
    <t xml:space="preserve">2 bersaudara </t>
  </si>
  <si>
    <t xml:space="preserve">Tidak ada </t>
  </si>
  <si>
    <t>Bhsa jawa</t>
  </si>
  <si>
    <t xml:space="preserve">Blitar </t>
  </si>
  <si>
    <t>3507230205810009</t>
  </si>
  <si>
    <t xml:space="preserve">Islam </t>
  </si>
  <si>
    <t>082142575266</t>
  </si>
  <si>
    <t>SMP/MTs SEDERAJAT</t>
  </si>
  <si>
    <t xml:space="preserve">Wiraswasta </t>
  </si>
  <si>
    <t xml:space="preserve">Singosari </t>
  </si>
  <si>
    <t xml:space="preserve">Pasar singosari </t>
  </si>
  <si>
    <t>08214257266</t>
  </si>
  <si>
    <t>Siis Abi Gmail10</t>
  </si>
  <si>
    <t xml:space="preserve">WhatsApp </t>
  </si>
  <si>
    <t>3507235301800001</t>
  </si>
  <si>
    <t>08217474452</t>
  </si>
  <si>
    <t xml:space="preserve">Ibu rmh tangga </t>
  </si>
  <si>
    <t>35072230205810009</t>
  </si>
  <si>
    <t>082172575266</t>
  </si>
  <si>
    <t>Siis Abi Gmail10 mm</t>
  </si>
  <si>
    <t xml:space="preserve">SD anak shaleh </t>
  </si>
  <si>
    <t xml:space="preserve">Jln Arumba no 31 tunggulwulung Lowokwaru </t>
  </si>
  <si>
    <t>Belum pernah</t>
  </si>
  <si>
    <t xml:space="preserve">Matematika </t>
  </si>
  <si>
    <t>Ayah,ibu,kakak</t>
  </si>
  <si>
    <t>DI LUAR RUMAH</t>
  </si>
  <si>
    <t xml:space="preserve">Bak sama saudara </t>
  </si>
  <si>
    <t xml:space="preserve">Egois sedikit </t>
  </si>
  <si>
    <t xml:space="preserve">Pengusaha </t>
  </si>
  <si>
    <t xml:space="preserve">Menjadi yg lebih bertanggung jawab </t>
  </si>
  <si>
    <t xml:space="preserve">Melanjutkan </t>
  </si>
  <si>
    <t>5 kgmeter</t>
  </si>
  <si>
    <t>Untuk semua guru SMP anak saleh,agar memberikan yg terbaik buat siswa siswi nya</t>
  </si>
  <si>
    <t>Telepon</t>
  </si>
  <si>
    <t xml:space="preserve">Memberikan yang terbaik </t>
  </si>
  <si>
    <t>nissaamarianaa@gmail.com</t>
  </si>
  <si>
    <t>ZAHRA FITRI OCTA BERLIAN</t>
  </si>
  <si>
    <t>ZAHRA</t>
  </si>
  <si>
    <t>3573054510130001</t>
  </si>
  <si>
    <t>3573051108070128</t>
  </si>
  <si>
    <t>Jl. Canditelagawangi gg I no 5B</t>
  </si>
  <si>
    <t>Mojolangu</t>
  </si>
  <si>
    <t>085716316466</t>
  </si>
  <si>
    <t>085706778894</t>
  </si>
  <si>
    <t>SUGENG</t>
  </si>
  <si>
    <t>LULUK HANDAYANI</t>
  </si>
  <si>
    <t xml:space="preserve">MALANG </t>
  </si>
  <si>
    <t>3573052806700007</t>
  </si>
  <si>
    <t>Jl. Candi Telagawangi gg I no 5b</t>
  </si>
  <si>
    <t>Lowokwau</t>
  </si>
  <si>
    <t>081216859007</t>
  </si>
  <si>
    <t>BENGKEL PER PEYEX</t>
  </si>
  <si>
    <t>Jl. Candi Telagawangi gg I no 5B</t>
  </si>
  <si>
    <t>&lt;5.000.000.000</t>
  </si>
  <si>
    <t>sugengpeyex@gmail.com</t>
  </si>
  <si>
    <t>tidak ada</t>
  </si>
  <si>
    <t>ALMH. LULUK HANDAYANI</t>
  </si>
  <si>
    <t>NISSA MARIANA</t>
  </si>
  <si>
    <t>3573055308020006</t>
  </si>
  <si>
    <t>MUA by nissaamr</t>
  </si>
  <si>
    <t>&lt;2.000.000</t>
  </si>
  <si>
    <t>SDN TULUSREJO 3 MALANG</t>
  </si>
  <si>
    <t>JL. BANTARAN V NO 17</t>
  </si>
  <si>
    <t>JUNI 2020</t>
  </si>
  <si>
    <t>3 Dewasa 1 Anak Anak</t>
  </si>
  <si>
    <t>KAKAK KANDUNG</t>
  </si>
  <si>
    <t>PEMARAH, PEMURUNG, PERIANG, PENERTAWA</t>
  </si>
  <si>
    <t>PENURUT</t>
  </si>
  <si>
    <t>Pebisnis</t>
  </si>
  <si>
    <t xml:space="preserve">Ananda menjadi generasi yang beriman dan bertakwa, berakhlak mulia, mandiri, disiplin, berprestasi, serta siap menghadapi tantangan di jenjang pendidikan selanjutnya.
</t>
  </si>
  <si>
    <t>Sekolah Negeri Malang</t>
  </si>
  <si>
    <t>2-2,5km</t>
  </si>
  <si>
    <t>KENDARAAN PRIBADI, ANTAR JEMPUT SEKOLAH, SEPEDA MOTOR</t>
  </si>
  <si>
    <t>AYAH/IBU SENDIRI, KAKAK KANDUNG</t>
  </si>
  <si>
    <t xml:space="preserve">Kami berharap anak kami dapat belajar dengan baik dan menjadi pribadi yang berakhlak mulia. Mohon bimbingan Bapak/Ibu Guru. Terima kasih.
</t>
  </si>
  <si>
    <t>melalui whatsapp/telefon</t>
  </si>
  <si>
    <t>Semoga sekolah terus memberikan lingkungan belajar yang aman, nyaman, dan menyenangkan bagi seluruh peserta didik.
ww</t>
  </si>
  <si>
    <t>NO</t>
  </si>
  <si>
    <t>NIS</t>
  </si>
  <si>
    <t>NISN</t>
  </si>
  <si>
    <t>MUHAMMAD ATHAR AL NAJA</t>
  </si>
  <si>
    <t>KENNZIE SOFYAN PRATAMA</t>
  </si>
  <si>
    <t xml:space="preserve">MUH. GHAZIRUL KHAIR RAMADHAN </t>
  </si>
  <si>
    <t xml:space="preserve">MUHAMMAD ADZKA HABIBI ARIFIN </t>
  </si>
  <si>
    <t>ALBY FARZANI</t>
  </si>
  <si>
    <t xml:space="preserve">AHMAD THORIQ ALZANABI </t>
  </si>
  <si>
    <t>ATHAR</t>
  </si>
  <si>
    <t>KENN</t>
  </si>
  <si>
    <t>GHAZIRUL</t>
  </si>
  <si>
    <t>HABIBI</t>
  </si>
  <si>
    <t>ALBY</t>
  </si>
  <si>
    <t>ABI</t>
  </si>
  <si>
    <t>DEPOK</t>
  </si>
  <si>
    <t xml:space="preserve"> </t>
  </si>
  <si>
    <t>17 JULI 2013</t>
  </si>
  <si>
    <t>15 DESEMBER 2012</t>
  </si>
  <si>
    <t>25 JULI 2013</t>
  </si>
  <si>
    <t>30 JANUARI 2014</t>
  </si>
  <si>
    <t>10 JULI 2013</t>
  </si>
  <si>
    <t>19 MEI 2014</t>
  </si>
  <si>
    <t>16 AGUSTUS 2013</t>
  </si>
  <si>
    <t>26 JUNI 2013</t>
  </si>
  <si>
    <t>15 OKTOBER 2013</t>
  </si>
  <si>
    <t>MILD NEUROCOGNITIVE DISORDER DUE TO TRAUMATIC  BRAIN INJURY</t>
  </si>
  <si>
    <t>SPEECH SOUND DISORDER</t>
  </si>
  <si>
    <t>PERUM DE PRIMA BLOK AA NO 13</t>
  </si>
  <si>
    <t>JL. BUKIT HIJAU BLOK A/1A</t>
  </si>
  <si>
    <t>PERUM SAXOFONE LAND NO25</t>
  </si>
  <si>
    <t xml:space="preserve">JL. KH. YUSUF 12C RT.03 RW.04 TASIKMADU </t>
  </si>
  <si>
    <t xml:space="preserve">JL. NUSA INDAH ATAS NO.11A </t>
  </si>
  <si>
    <t xml:space="preserve">JLN TANJUNG SARI 2 RT 19 RW 07 KEPUHARJO KARANGPLOSO MALANG </t>
  </si>
  <si>
    <t>JL. CANDITELAGAWANGI GG I NO 5B</t>
  </si>
  <si>
    <t>MERJOSARI</t>
  </si>
  <si>
    <t>TLOGOMAS</t>
  </si>
  <si>
    <t>JATIMULYO</t>
  </si>
  <si>
    <t>TASIKMADU</t>
  </si>
  <si>
    <t xml:space="preserve">LOWOKWARU </t>
  </si>
  <si>
    <t>TULUSREJO</t>
  </si>
  <si>
    <t xml:space="preserve">KEPUHARJO </t>
  </si>
  <si>
    <t>MOJOLANGU</t>
  </si>
  <si>
    <t>TUNGGULWULUNG</t>
  </si>
  <si>
    <t xml:space="preserve">KARANGPLOSO </t>
  </si>
  <si>
    <t>KABUPATEN MALANG</t>
  </si>
  <si>
    <t>ABU SOFYAN, SE</t>
  </si>
  <si>
    <t xml:space="preserve">RISA SUGIARTO </t>
  </si>
  <si>
    <t>YOYOK SETYO DARMOJO</t>
  </si>
  <si>
    <t>SIIS</t>
  </si>
  <si>
    <t>DWI RETNO PRATIWI</t>
  </si>
  <si>
    <t xml:space="preserve">SETYARINI YULIAWATI </t>
  </si>
  <si>
    <t>HENI JAYAWATI</t>
  </si>
  <si>
    <t xml:space="preserve">YENI AVIA </t>
  </si>
  <si>
    <t>011</t>
  </si>
  <si>
    <t>TANGGAL DITERIMA</t>
  </si>
  <si>
    <t>NO. AKTE KELAHIRAN</t>
  </si>
  <si>
    <t>GRADE</t>
  </si>
  <si>
    <t>CLASS NAME</t>
  </si>
  <si>
    <t>SAMUDRA PASAI</t>
  </si>
  <si>
    <t>3129628388</t>
  </si>
  <si>
    <t>JL. ARUMBA NO. 31, TUNGGULWULUNG, LOWOKWARU, KOTA MALANG</t>
  </si>
  <si>
    <t>JL. JOYOSUKO METRO III NO. 34</t>
  </si>
  <si>
    <t>0145029159</t>
  </si>
  <si>
    <t>0138639420</t>
  </si>
  <si>
    <t>0142214518</t>
  </si>
  <si>
    <t>0146911413</t>
  </si>
  <si>
    <t>0133320778</t>
  </si>
  <si>
    <t>0145239280</t>
  </si>
  <si>
    <t>3139767870</t>
  </si>
  <si>
    <t>0135514718</t>
  </si>
  <si>
    <t>0142241873</t>
  </si>
  <si>
    <t>0131153128</t>
  </si>
  <si>
    <t>0131332112</t>
  </si>
  <si>
    <t>15 SEPTEMBER 2013</t>
  </si>
  <si>
    <t>7 APRIL 2014</t>
  </si>
  <si>
    <t>4 FEBRUARI 2014</t>
  </si>
  <si>
    <t>ALBYAGHA ARIFIANSYAH RAHMAN</t>
  </si>
  <si>
    <t>YAGHA</t>
  </si>
  <si>
    <t>0138902326</t>
  </si>
  <si>
    <t>3573051608130001</t>
  </si>
  <si>
    <t>PAMEKASAN</t>
  </si>
  <si>
    <t>JL. MT. HARYONO IX NO. 326, DINOYO, LOWOKWARU, KOTA MALANG</t>
  </si>
  <si>
    <t>PERUM SAXOFONR LAND NO. 31</t>
  </si>
  <si>
    <t>65141</t>
  </si>
  <si>
    <t>RAHMAN ARIFUDDIN</t>
  </si>
  <si>
    <t>LINDAWATI</t>
  </si>
  <si>
    <t>JAWA PALU</t>
  </si>
  <si>
    <t>15 JULI 2026</t>
  </si>
  <si>
    <t>03 JULI 2026</t>
  </si>
  <si>
    <t>29 APRIL 2026</t>
  </si>
  <si>
    <t>03 JUNI 2026</t>
  </si>
  <si>
    <t xml:space="preserve">SD PURWANTORO 1 </t>
  </si>
  <si>
    <t>SDN DINOYO 2</t>
  </si>
  <si>
    <t>SD MUHAMMADIYAH 4</t>
  </si>
  <si>
    <t>SDN TULUSREJO 3</t>
  </si>
  <si>
    <t>SDN KARANGTENGAH 4</t>
  </si>
  <si>
    <t>BHSA JAWA</t>
  </si>
  <si>
    <t>INDONESIA - JAWA</t>
  </si>
  <si>
    <t/>
  </si>
  <si>
    <t>BAHASA INDONESIA DAN JAWA</t>
  </si>
  <si>
    <t xml:space="preserve">INDONESIA </t>
  </si>
  <si>
    <t>YOYOK SETYO DAMOJO, S.Kom.</t>
  </si>
  <si>
    <t>RISA SUGIARTO, S.E., S.Pd</t>
  </si>
  <si>
    <t>DENNY ARI SETYAWAN, S.Kom</t>
  </si>
  <si>
    <t>DWI CAHYO SAPUTRI, A.Md., S.H</t>
  </si>
  <si>
    <t>YARI YUDHO PURWANTO, S.T., M.M</t>
  </si>
  <si>
    <t xml:space="preserve">BLITAR </t>
  </si>
  <si>
    <t>PALU</t>
  </si>
  <si>
    <t>SURABAYA</t>
  </si>
  <si>
    <t>MOJOKERTO</t>
  </si>
  <si>
    <t>MADIUN</t>
  </si>
  <si>
    <t>JL. JOYOSUKO METRO, GG 3, NO. 34</t>
  </si>
  <si>
    <t>PERUM SAXOFONE LAND NO.25</t>
  </si>
  <si>
    <t xml:space="preserve">JL. KH. YUSUF 12C </t>
  </si>
  <si>
    <t>JL. NUSA INDAH ATAS NO.11A</t>
  </si>
  <si>
    <t>JL. CANDI TELAGAWANGI GG I NO 5B</t>
  </si>
  <si>
    <t xml:space="preserve">TASIKMADU </t>
  </si>
  <si>
    <t>POLOWIJEN</t>
  </si>
  <si>
    <t>LOWOKWAU</t>
  </si>
  <si>
    <t xml:space="preserve">KOTA MALANG </t>
  </si>
  <si>
    <t>0813-3391-1147</t>
  </si>
  <si>
    <t xml:space="preserve">WIRASWASTA </t>
  </si>
  <si>
    <t>DOSEN</t>
  </si>
  <si>
    <t xml:space="preserve">KARYAWAN </t>
  </si>
  <si>
    <t>GURU</t>
  </si>
  <si>
    <t>WIRAUSAHA</t>
  </si>
  <si>
    <t>PENSIUNAN BNI</t>
  </si>
  <si>
    <t>JL. INDRAPURA NO.17, KREMBANGAN SEL., KEC. KREMBANGAN, SURABAYA, JAWA TIMUR 60164</t>
  </si>
  <si>
    <t xml:space="preserve">PASAR SINGOSARI </t>
  </si>
  <si>
    <t>L. RAYA TANGKILSARI NO.53, KERTOWINANGUN, TANGKILSARI, KEC. TAJINAN, KABUPATEN MALANG, JAWA TIMUR</t>
  </si>
  <si>
    <t>JL. GAJAYANA, NO. 50, LOWOKWARU, KOTA MALANG</t>
  </si>
  <si>
    <t>JL. BOROBUDUR NO. 1</t>
  </si>
  <si>
    <t>JL. MT. HARYONO</t>
  </si>
  <si>
    <t>BP JAMSOSTEK LANTAI 12 KAV.GATOT SUBROTO,JAKARTA</t>
  </si>
  <si>
    <t>JL. SIMPANG GAJAYANA NO. 611 KAV. K, L, M DINOYO, KEC. LOWOKWARU MALANG</t>
  </si>
  <si>
    <t>0</t>
  </si>
  <si>
    <t>YENI AVIA</t>
  </si>
  <si>
    <t>HENI JAYAWATI, S.E.</t>
  </si>
  <si>
    <t>PUNGKAS HARDIKARAHMAPUTRI, S.E</t>
  </si>
  <si>
    <t>NANIK RAHAYU, S.E</t>
  </si>
  <si>
    <t>SETYARINI YULIAWATI, S.Pd</t>
  </si>
  <si>
    <t>SHARA NUR FITRIA, S.H.</t>
  </si>
  <si>
    <t>JEMBER</t>
  </si>
  <si>
    <t xml:space="preserve">TRENGGALEK </t>
  </si>
  <si>
    <t xml:space="preserve">BOGOR </t>
  </si>
  <si>
    <t>3573055708760010</t>
  </si>
  <si>
    <t>PERUM DE PRIMA AA NO 13</t>
  </si>
  <si>
    <t xml:space="preserve">IBU RMH TANGGA </t>
  </si>
  <si>
    <t>IBU RUMAH TANGGA</t>
  </si>
  <si>
    <t>TIDAK BEKERJA</t>
  </si>
  <si>
    <t>RSUD DR. SAIFUL ANWAR PROVINSI JAWA TIMUR</t>
  </si>
  <si>
    <t>UIN MAULANA MALIK IBRAHIM MALANG</t>
  </si>
  <si>
    <t>SDN TASIKMADU 1</t>
  </si>
  <si>
    <t>PT QUINNE INDONESIA</t>
  </si>
  <si>
    <t>JL. JAKSA AGUNG SUPRAPTO NO.2, KLOJEN, KEC. KLOJEN, KOTA MALANG, JAWA TIMUR 65112</t>
  </si>
  <si>
    <t>PERUM SAXOFONE LAND NO. 25</t>
  </si>
  <si>
    <t>JL. GOLF 71</t>
  </si>
  <si>
    <t xml:space="preserve">JL. EAGLE WOOD STREET NO 72 CIBUBUR </t>
  </si>
  <si>
    <t>0821217474452</t>
  </si>
  <si>
    <t>DR. H. ISROQUNNAJAH, M.AG</t>
  </si>
  <si>
    <t>BLITAR</t>
  </si>
  <si>
    <t>KEPUHARJO</t>
  </si>
  <si>
    <t>KARANGPLOSO</t>
  </si>
  <si>
    <t>PASAR SINGOSARI</t>
  </si>
  <si>
    <t>UIN MAULANAN MALIK IBRAHIM</t>
  </si>
  <si>
    <t>MUA BY NISSAAMR</t>
  </si>
  <si>
    <t>USIA</t>
  </si>
  <si>
    <t>(0341) 568395</t>
  </si>
  <si>
    <t>rahman.arifuddin@unmer.ac.id</t>
  </si>
  <si>
    <t>linda.a.rowman@gmail.com</t>
  </si>
  <si>
    <t>Ir. RAHMAN ARIFUDDIN, S.T., M.T</t>
  </si>
  <si>
    <t>PERUM SAXOFONE LAND NO. 31</t>
  </si>
  <si>
    <t>085648509998</t>
  </si>
  <si>
    <t>UNIVERSITAS MERDEKA MALANG</t>
  </si>
  <si>
    <t>JL. TERUSAN DIENG NO. 62-64 KLOJEN, PISANGCANDI, SUKUN, KOTA MALANG</t>
  </si>
  <si>
    <t>LINDAWATI, S.Pd</t>
  </si>
  <si>
    <t>JOMBANG</t>
  </si>
  <si>
    <t>351715510190002</t>
  </si>
  <si>
    <t>085732872730</t>
  </si>
  <si>
    <t>RUMAH</t>
  </si>
  <si>
    <t>26875001</t>
  </si>
  <si>
    <t>26875002</t>
  </si>
  <si>
    <t>26875003</t>
  </si>
  <si>
    <t>26875004</t>
  </si>
  <si>
    <t>26875005</t>
  </si>
  <si>
    <t>26875006</t>
  </si>
  <si>
    <t>26875007</t>
  </si>
  <si>
    <t>26875008</t>
  </si>
  <si>
    <t>26875009</t>
  </si>
  <si>
    <t>26875010</t>
  </si>
  <si>
    <t>26875011</t>
  </si>
  <si>
    <t>26875012</t>
  </si>
  <si>
    <t>26875013</t>
  </si>
  <si>
    <t>3573-LU-26092013-0125</t>
  </si>
  <si>
    <t>27 MARET 1987</t>
  </si>
  <si>
    <t>11 JUNI 1986</t>
  </si>
  <si>
    <t>JL. BOGOR NO. 19 MALANG</t>
  </si>
  <si>
    <t>3507-LT-08092014-0037</t>
  </si>
  <si>
    <t>05 MEI 1981</t>
  </si>
  <si>
    <t>13 JANUARI 1980</t>
  </si>
  <si>
    <t>JL. LETJEN S. PARMAN NO. 67</t>
  </si>
  <si>
    <t>3573-LT-10102013-0055</t>
  </si>
  <si>
    <t>15 APRIL 1978</t>
  </si>
  <si>
    <t>17 AGUSTUS 1987</t>
  </si>
  <si>
    <t>3528-LU-18092013-0059</t>
  </si>
  <si>
    <t>11 AGUSTUS 1986</t>
  </si>
  <si>
    <t>11 JANUARI 1990</t>
  </si>
  <si>
    <t>3507-LT-01092014-0219</t>
  </si>
  <si>
    <t>30 NOVEMBER 1983</t>
  </si>
  <si>
    <t>02 MEI 1990</t>
  </si>
  <si>
    <t>552 / 2013</t>
  </si>
  <si>
    <t>18 FEBRUARI 1967</t>
  </si>
  <si>
    <t>03 JANUARI 1976</t>
  </si>
  <si>
    <t>3573-LT-11072014-0001</t>
  </si>
  <si>
    <t>ABU SOFYAN</t>
  </si>
  <si>
    <t>NANIK RAHAYU</t>
  </si>
  <si>
    <t>03 JANUARI 1979</t>
  </si>
  <si>
    <t>01 NOVEMBER 1982</t>
  </si>
  <si>
    <t>JL. SUDIMORO NO. 19 MOJOLANGU MALANG</t>
  </si>
  <si>
    <t>3573-LU-21082013-0029</t>
  </si>
  <si>
    <t>08 DESEMBER 1982</t>
  </si>
  <si>
    <t>17 JULI 1983</t>
  </si>
  <si>
    <t>9535/U/2014</t>
  </si>
  <si>
    <t>AHMAD RIFA'I ARIFIN</t>
  </si>
  <si>
    <t>SHARA NUR FITRIA</t>
  </si>
  <si>
    <t>AHMAD RIFA'I ARIFIN, S.T., M.M</t>
  </si>
  <si>
    <t>04 FEBRUARI 1989</t>
  </si>
  <si>
    <t>28 MARET 1993</t>
  </si>
  <si>
    <t>3573-LU-30082013-0032</t>
  </si>
  <si>
    <t>DENNY ARIE SETYAWAN</t>
  </si>
  <si>
    <t>10 AGUSTUS 1987</t>
  </si>
  <si>
    <t>24 FEBRUARI 1987</t>
  </si>
  <si>
    <t>JL. RONGGOWARSITI NO. 2 NGAWI</t>
  </si>
  <si>
    <t>3573-LU-22042014-0030</t>
  </si>
  <si>
    <t>03 MARET 1978</t>
  </si>
  <si>
    <t>28 MARET 1980</t>
  </si>
  <si>
    <t>3573-LT-13112013-0059</t>
  </si>
  <si>
    <t>16 JANUARI 1970</t>
  </si>
  <si>
    <t>NOVI DIANA MAYA SARI, SE</t>
  </si>
  <si>
    <t>17 NOVEMBER 1977</t>
  </si>
  <si>
    <t>JL. BANTARAN V NO. 17 LOWOKWARU MALANG</t>
  </si>
  <si>
    <t>3573-LT-25032014-0133</t>
  </si>
  <si>
    <t>28 JUNI 1970</t>
  </si>
  <si>
    <t>KAYLA SYAHQUITTA AL FARUQ</t>
  </si>
  <si>
    <t>SMP AL-AZHAR MANDIRI PALU</t>
  </si>
  <si>
    <t>JL. TJ. MALAKOSA NO.6, LOLU SEL., KEC. PALU TIM., KOTA PALU, SULAWESI TENGAH</t>
  </si>
  <si>
    <t>26875014</t>
  </si>
  <si>
    <t>0145913565</t>
  </si>
  <si>
    <t>3510-LU-24072014-0070</t>
  </si>
  <si>
    <t>7271030807200004</t>
  </si>
  <si>
    <t>KAYLA</t>
  </si>
  <si>
    <t>3510086805140003</t>
  </si>
  <si>
    <t>28 MEI 2014</t>
  </si>
  <si>
    <t>SMP (SEKOLAH MENENHGAH PERTAMA)</t>
  </si>
  <si>
    <t>18 AGUSTUS 2026</t>
  </si>
  <si>
    <t>FARUQ SANJAYA</t>
  </si>
  <si>
    <t>28 JANUARI 1990</t>
  </si>
  <si>
    <t>3510082801880004</t>
  </si>
  <si>
    <t>LUSI PRIMA WARDHANI</t>
  </si>
  <si>
    <t>27 MEI 1989</t>
  </si>
  <si>
    <t>3510036705890001</t>
  </si>
  <si>
    <t>3507230405090120</t>
  </si>
  <si>
    <t>3573051508071290</t>
  </si>
  <si>
    <t>7210080301790000</t>
  </si>
  <si>
    <t>3509024111820000</t>
  </si>
  <si>
    <t>3573031008073960</t>
  </si>
  <si>
    <t>3573053004140010</t>
  </si>
  <si>
    <t>3573050507110030</t>
  </si>
  <si>
    <t>3573051008870000</t>
  </si>
  <si>
    <t>3573056402880000</t>
  </si>
  <si>
    <t>3573051009090020</t>
  </si>
  <si>
    <t>3573052205130010</t>
  </si>
  <si>
    <t>PUTIH</t>
  </si>
  <si>
    <t>Lucyprima1989@gmail.com</t>
  </si>
  <si>
    <t>Ilusi_sajja</t>
  </si>
  <si>
    <t>04</t>
  </si>
  <si>
    <t>NGENEP</t>
  </si>
  <si>
    <t>082322333303</t>
  </si>
  <si>
    <t>JAWA, BAHASA INDONESIA</t>
  </si>
  <si>
    <t>GREEN SEASON BLOK H-32
JL. SINGO JOYO, MOJOSARI, NGENEP, KEC. KARANG PLOSO, KABUPATEN MALANG, JAWA TIMUR 65152</t>
  </si>
  <si>
    <t>082255000066</t>
  </si>
  <si>
    <t>JL KARANJALEMBAH , PALU SELATAN , KOTA PALU</t>
  </si>
  <si>
    <t>082223444422</t>
  </si>
  <si>
    <t>JAYA CONCEPT</t>
  </si>
  <si>
    <t>082322333302</t>
  </si>
  <si>
    <t>NOMOR IJAZAH</t>
  </si>
  <si>
    <t>111202624999053</t>
  </si>
  <si>
    <t>111202620834572</t>
  </si>
  <si>
    <t>111202621998222</t>
  </si>
  <si>
    <t>111202621991743</t>
  </si>
  <si>
    <t>111202608811341</t>
  </si>
  <si>
    <t>111202610897793</t>
  </si>
  <si>
    <t>111202620812683</t>
  </si>
  <si>
    <t>111202621998736</t>
  </si>
  <si>
    <t>111202620814347</t>
  </si>
  <si>
    <t>3528021108860000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</si>
</sst>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8" x14ac:knownFonts="1">
    <font>
      <sz val="10"/>
      <color rgb="FF000000"/>
      <name val="Arial"/>
      <scheme val="minor"/>
    </font>
    <font>
      <sz val="10"/>
      <color theme="1"/>
      <name val="Arial"/>
      <family val="2"/>
      <scheme val="minor"/>
    </font>
    <font>
      <i/>
      <sz val="10"/>
      <color theme="1"/>
      <name val="Arial"/>
      <family val="2"/>
    </font>
    <font>
      <b/>
      <sz val="10"/>
      <color rgb="FF000000"/>
      <name val="Arial"/>
      <family val="2"/>
      <scheme val="minor"/>
    </font>
    <font>
      <b/>
      <sz val="10"/>
      <color theme="1"/>
      <name val="Arial"/>
      <family val="2"/>
      <scheme val="minor"/>
    </font>
    <font>
      <sz val="10"/>
      <color theme="1"/>
      <name val="Arial"/>
      <family val="2"/>
      <scheme val="minor"/>
    </font>
    <font>
      <sz val="10"/>
      <color rgb="FF000000"/>
      <name val="Arial"/>
      <family val="2"/>
      <scheme val="minor"/>
    </font>
    <font>
      <sz val="8"/>
      <name val="Arial"/>
      <family val="2"/>
      <scheme val="minor"/>
    </font>
  </fonts>
  <fills count="5">
    <fill>
      <patternFill patternType="none"/>
    </fill>
    <fill>
      <patternFill patternType="gray125"/>
    </fill>
    <fill>
      <patternFill patternType="solid">
        <fgColor rgb="FF0070C0"/>
        <bgColor indexed="64"/>
      </patternFill>
    </fill>
    <fill>
      <patternFill patternType="solid">
        <fgColor rgb="FF0070C0"/>
        <bgColor rgb="FF5B3F86"/>
      </patternFill>
    </fill>
    <fill>
      <patternFill patternType="solid">
        <fgColor rgb="FFFFFF00"/>
        <bgColor indexed="64"/>
      </patternFill>
    </fill>
  </fills>
  <borders count="2">
    <border>
      <left/>
      <right/>
      <top/>
      <bottom/>
      <diagonal/>
    </border>
    <border>
      <left/>
      <right/>
      <top style="thin">
        <color rgb="FF5B3F86"/>
      </top>
      <bottom/>
      <diagonal/>
    </border>
  </borders>
  <cellStyleXfs count="1">
    <xf numFmtId="0" fontId="0" fillId="0" borderId="0"/>
  </cellStyleXfs>
  <cellXfs count="38">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0" fontId="1" fillId="0" borderId="0" xfId="0" quotePrefix="1" applyFont="1" applyAlignment="1">
      <alignment vertical="center"/>
    </xf>
    <xf numFmtId="3" fontId="1" fillId="0" borderId="0" xfId="0" applyNumberFormat="1" applyFont="1" applyAlignment="1">
      <alignment vertical="center"/>
    </xf>
    <xf numFmtId="0" fontId="0" fillId="0" borderId="0" xfId="0" applyAlignment="1">
      <alignment vertical="center"/>
    </xf>
    <xf numFmtId="0" fontId="3" fillId="2" borderId="0" xfId="0" applyFont="1" applyFill="1" applyAlignment="1">
      <alignment horizontal="center" vertical="center"/>
    </xf>
    <xf numFmtId="0" fontId="4" fillId="3" borderId="1" xfId="0" applyFont="1" applyFill="1" applyBorder="1" applyAlignment="1">
      <alignment horizontal="center" vertical="center"/>
    </xf>
    <xf numFmtId="0" fontId="0" fillId="0" borderId="0" xfId="0" applyAlignment="1">
      <alignment horizontal="center"/>
    </xf>
    <xf numFmtId="0" fontId="6" fillId="0" borderId="0" xfId="0" applyFont="1" applyAlignment="1">
      <alignment vertical="center"/>
    </xf>
    <xf numFmtId="0" fontId="0" fillId="0" borderId="0" xfId="0" applyAlignment="1">
      <alignment horizontal="center" vertical="center"/>
    </xf>
    <xf numFmtId="0" fontId="0" fillId="0" borderId="0" xfId="0" quotePrefix="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xf>
    <xf numFmtId="14" fontId="5" fillId="0" borderId="0" xfId="0" applyNumberFormat="1" applyFont="1" applyAlignment="1">
      <alignment horizontal="center" vertical="center"/>
    </xf>
    <xf numFmtId="0" fontId="6" fillId="0" borderId="0" xfId="0" quotePrefix="1" applyFont="1" applyAlignment="1">
      <alignment vertical="center"/>
    </xf>
    <xf numFmtId="0" fontId="6" fillId="0" borderId="0" xfId="0" quotePrefix="1" applyFont="1" applyAlignment="1">
      <alignment horizontal="center" vertical="center"/>
    </xf>
    <xf numFmtId="0" fontId="4" fillId="3" borderId="1" xfId="0" applyFont="1" applyFill="1" applyBorder="1" applyAlignment="1">
      <alignment horizontal="right" vertical="center"/>
    </xf>
    <xf numFmtId="0" fontId="0" fillId="0" borderId="0" xfId="0" applyAlignment="1">
      <alignment horizontal="right" vertical="center"/>
    </xf>
    <xf numFmtId="0" fontId="0" fillId="0" borderId="0" xfId="0" applyAlignment="1">
      <alignment horizontal="right"/>
    </xf>
    <xf numFmtId="14" fontId="1" fillId="0" borderId="0" xfId="0" applyNumberFormat="1" applyFont="1" applyAlignment="1">
      <alignment horizontal="center" vertical="center"/>
    </xf>
    <xf numFmtId="49" fontId="6" fillId="4" borderId="0" xfId="0" applyNumberFormat="1" applyFont="1" applyFill="1" applyAlignment="1">
      <alignment horizontal="center" vertical="center"/>
    </xf>
    <xf numFmtId="0" fontId="6" fillId="4" borderId="0" xfId="0" applyFont="1" applyFill="1" applyAlignment="1">
      <alignment vertical="center"/>
    </xf>
    <xf numFmtId="0" fontId="0" fillId="4" borderId="0" xfId="0" applyFill="1" applyAlignment="1">
      <alignment vertical="center"/>
    </xf>
    <xf numFmtId="0" fontId="6" fillId="4" borderId="0" xfId="0" quotePrefix="1" applyFont="1" applyFill="1" applyAlignment="1">
      <alignment horizontal="center" vertical="center"/>
    </xf>
    <xf numFmtId="0" fontId="0" fillId="4" borderId="0" xfId="0" applyFill="1" applyAlignment="1">
      <alignment horizontal="center" vertical="center"/>
    </xf>
    <xf numFmtId="0" fontId="6" fillId="4" borderId="0" xfId="0" applyFont="1" applyFill="1" applyAlignment="1">
      <alignment horizontal="center" vertical="center"/>
    </xf>
    <xf numFmtId="14" fontId="1" fillId="4" borderId="0" xfId="0" applyNumberFormat="1" applyFont="1" applyFill="1" applyAlignment="1">
      <alignment horizontal="center" vertical="center"/>
    </xf>
    <xf numFmtId="14" fontId="5" fillId="4" borderId="0" xfId="0" applyNumberFormat="1" applyFont="1" applyFill="1" applyAlignment="1">
      <alignment horizontal="center" vertical="center"/>
    </xf>
    <xf numFmtId="49" fontId="0" fillId="4" borderId="0" xfId="0" applyNumberFormat="1" applyFill="1" applyAlignment="1">
      <alignment horizontal="center" vertical="center"/>
    </xf>
    <xf numFmtId="0" fontId="0" fillId="4" borderId="0" xfId="0" applyFill="1" applyAlignment="1">
      <alignment horizontal="right" vertical="center"/>
    </xf>
    <xf numFmtId="0" fontId="0" fillId="4" borderId="0" xfId="0" quotePrefix="1" applyFill="1" applyAlignment="1">
      <alignment vertical="center"/>
    </xf>
    <xf numFmtId="0" fontId="0" fillId="0" borderId="0" xfId="0" quotePrefix="1" applyAlignment="1">
      <alignment vertical="center"/>
    </xf>
    <xf numFmtId="0" fontId="6" fillId="4" borderId="0" xfId="0" quotePrefix="1" applyFont="1" applyFill="1" applyAlignment="1">
      <alignment vertical="center"/>
    </xf>
    <xf numFmtId="49" fontId="0" fillId="0" borderId="0" xfId="0" quotePrefix="1" applyNumberFormat="1" applyAlignment="1">
      <alignment horizontal="center" vertical="center"/>
    </xf>
    <xf numFmtId="49" fontId="6" fillId="4" borderId="0" xfId="0" quotePrefix="1" applyNumberFormat="1" applyFont="1" applyFill="1" applyAlignment="1">
      <alignment horizontal="center" vertical="center"/>
    </xf>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BAF488-5C1C-4FDE-9899-AF15B993F881}" name="Form_Responses3" displayName="Form_Responses3" ref="A1:EN13">
  <tableColumns count="144">
    <tableColumn id="1" xr3:uid="{643CCFDA-F6B1-41DA-997A-74EC18316529}" name="Timestamp"/>
    <tableColumn id="2" xr3:uid="{521BAB25-2BA1-463D-8851-05287E7C4725}" name="Email Address"/>
    <tableColumn id="3" xr3:uid="{89DAE4C5-F8EA-4FF1-BF04-D36F0BBDFBE4}" name="NAMA LENGKAP (sesuai Akta Kelahiran)"/>
    <tableColumn id="4" xr3:uid="{C2B0FD16-B9A0-475D-B9CE-2CADAE304D93}" name="NAMA PANGGILAN"/>
    <tableColumn id="5" xr3:uid="{9701FBDB-3B59-402C-AB67-6868095DD039}" name="NIK ANANDA"/>
    <tableColumn id="6" xr3:uid="{679A2AE2-7D8E-4CC2-B29B-F1C9C7853DA0}" name="NO. KARTU KELUARGA"/>
    <tableColumn id="7" xr3:uid="{D66278B1-656A-4F97-9179-0D30F465EBDF}" name="JENIS KELAMIN"/>
    <tableColumn id="8" xr3:uid="{A68BFC86-5AF1-454D-80DA-778C08B5472E}" name="TEMPAT LAHIR"/>
    <tableColumn id="9" xr3:uid="{A476033B-F8F4-4A9A-BF7C-C5E21FA17A9D}" name="TANGGAL LAHIR"/>
    <tableColumn id="10" xr3:uid="{2E76468E-FB8D-4575-A26D-1E6CEB2B2435}" name="JENIS PESERTA DIDIK"/>
    <tableColumn id="11" xr3:uid="{F900535C-4A7A-4990-A9BC-EBCED5653019}" name="JENIS KETUNAAN (KHUSUS MBK)"/>
    <tableColumn id="12" xr3:uid="{007008FE-4349-4C4A-AD34-9D54BCE52A3A}" name="ALAMAT RUMAH"/>
    <tableColumn id="13" xr3:uid="{B7BFF79F-7B44-4588-823A-865A8F319C86}" name="RT"/>
    <tableColumn id="14" xr3:uid="{0D1649E7-F741-43CC-BA6F-F3414641B7D7}" name="RW"/>
    <tableColumn id="15" xr3:uid="{9A02CD25-8C03-43E7-92FD-7E91CDEC6425}" name="KELURAHAN"/>
    <tableColumn id="16" xr3:uid="{7A8C9008-8345-4E5F-A33A-0624D3D144DE}" name="KECAMATAN"/>
    <tableColumn id="17" xr3:uid="{F1E5E8BA-DFDB-4787-9773-27AE896FCE56}" name="KABUPATEN/KOTA"/>
    <tableColumn id="18" xr3:uid="{094F536B-B1D5-4C59-9DC7-E4D0FC9E03EB}" name="KODEPOS"/>
    <tableColumn id="19" xr3:uid="{DADBF97A-03F8-4759-AA8D-2C18B56712D4}" name="NO. TELEPON RUMAH"/>
    <tableColumn id="20" xr3:uid="{795B7150-2745-4E1C-8F32-0BA2F5C4143B}" name="NO. HANDPHONE"/>
    <tableColumn id="21" xr3:uid="{34BA985D-B565-4825-966A-E3E447448522}" name="NAMA AYAH KANDUNG (wajib sesuai Akta Kelahiran)"/>
    <tableColumn id="22" xr3:uid="{7A79A3B2-EE8A-4EF6-883D-F6AE742CC27B}" name="NAMA IBU KANDUNG (wajib sesuai Akta Kelahiran)"/>
    <tableColumn id="23" xr3:uid="{B6A431D8-6C36-4832-9973-6C6DAA1589BE}" name="ANAK KE"/>
    <tableColumn id="24" xr3:uid="{51B86362-7DA4-4B2B-800E-F11E42AE890C}" name="JUMLAH SAUDARA KANDUNG"/>
    <tableColumn id="25" xr3:uid="{15DA5C1F-B032-46A9-BC0F-05B3A1D69FE0}" name="JUMLAH SAUDARA TIRI"/>
    <tableColumn id="26" xr3:uid="{DD9AD1B0-84DF-451F-98DE-C43B2410FBCA}" name="JUMLAH SAUDARA ANGKAT"/>
    <tableColumn id="27" xr3:uid="{DCBF1D9F-B30A-4909-B2ED-034515765CBC}" name="BAHASA KESEHARIAN DI KELUARGA"/>
    <tableColumn id="28" xr3:uid="{88CAB487-3A67-4FC5-8C8B-73F5EAEBE9E9}" name="KEWARGANEGARAAN"/>
    <tableColumn id="29" xr3:uid="{80365F21-BDED-442F-B79C-6E5AF974CC56}" name="AGAMA"/>
    <tableColumn id="30" xr3:uid="{C2FEE2E0-C004-4187-9914-ADBE7ADDE7B9}" name="SUKU BANGSA"/>
    <tableColumn id="31" xr3:uid="{AA42A35D-E6A1-488D-903B-858A551808EC}" name="BERAT BADAN (satuan kg)"/>
    <tableColumn id="32" xr3:uid="{A77E78FD-07DB-4AFD-8328-4BBD9259DAA4}" name="TINGGI BADAN (satuan cm)"/>
    <tableColumn id="33" xr3:uid="{DF089375-9DE0-4040-8DAA-087A7F6EA6A3}" name="GOLONGAN DARAH"/>
    <tableColumn id="34" xr3:uid="{AA3D0861-1BE8-4166-8D3B-20481A15A80F}" name="WARNA KULIT"/>
    <tableColumn id="35" xr3:uid="{572618E2-9C2D-4009-BF5D-C0DFF331E707}" name="BENTUK RAMBUT"/>
    <tableColumn id="36" xr3:uid="{0A316E99-C71C-4FF8-822A-62C09BF2A5A5}" name="WARNA RAMBUT"/>
    <tableColumn id="37" xr3:uid="{9CACBE1A-4949-4B30-A52F-D6F0F9F1B1F1}" name="NAMA LENGKAP AYAH KANDUNG (beserta gelar)"/>
    <tableColumn id="38" xr3:uid="{68D168E9-F593-4EC8-945D-C7C573F189E6}" name="TEMPAT LAHIR AYAH"/>
    <tableColumn id="39" xr3:uid="{01B2C86D-3CB0-4808-B2C4-222FD2BBD6F0}" name="TANGGAL LAHIR AYAH"/>
    <tableColumn id="40" xr3:uid="{13489478-E842-4ACA-B84D-5A92C0B32CB5}" name="NIK AYAH"/>
    <tableColumn id="41" xr3:uid="{AD1FB57B-7BB5-4953-B4B6-574714595F24}" name="ALAMAT TEMPAT TINGGAL AYAH"/>
    <tableColumn id="42" xr3:uid="{825B47A0-059E-428B-B80B-48BCA9D1DB0A}" name="RT 2"/>
    <tableColumn id="43" xr3:uid="{C41DD2F1-2CFB-478F-A717-27042D4495DD}" name="RW 2"/>
    <tableColumn id="44" xr3:uid="{9C8D54F1-ED1E-4141-ACDF-6E6D622ECBCE}" name="KELURAHAN 2"/>
    <tableColumn id="45" xr3:uid="{74AD2C31-1208-49E8-A1EA-289BDE6F5C4B}" name="KECAMATAN 2"/>
    <tableColumn id="46" xr3:uid="{CD8812F8-535F-42B9-9C4A-859B6EC0B88C}" name="KABUPATEN/KOTA 2"/>
    <tableColumn id="47" xr3:uid="{1D9D169A-9CC7-41A6-86D2-E420E08FC274}" name="KODE POS"/>
    <tableColumn id="48" xr3:uid="{2FF1BB7B-F0E2-4922-8C7D-B59588B064B4}" name="KEWARGANEGARAAN 2"/>
    <tableColumn id="49" xr3:uid="{FA1AA420-1B87-47AA-BB73-BC43E6BD450A}" name="AGAMA AYAH"/>
    <tableColumn id="50" xr3:uid="{A27F7BE6-1BC3-478C-B042-C8FA730384DD}" name="NO. HANDPHONE AYAH"/>
    <tableColumn id="51" xr3:uid="{5523EEDF-6F35-4A9A-B904-C11877CE62A0}" name="PENDIDIKAN TERAKHIR AYAH"/>
    <tableColumn id="52" xr3:uid="{E6954574-C931-4EA5-86C6-8502E9DB85F9}" name="PEKERJAAN AYAH"/>
    <tableColumn id="53" xr3:uid="{ECBF9233-5F26-4E26-939D-B8A65CA98F19}" name="INSTANSI TEMPAT BEKERJA AYAH"/>
    <tableColumn id="54" xr3:uid="{737889A4-182B-41A5-BE9E-33DF4F08E0D1}" name="ALAMAT LENGKAP INSTANSI BEKERJA AYAH (alamat, RT, RW, kelurahan, kecamatan, kab/kota)"/>
    <tableColumn id="55" xr3:uid="{0E787AE4-FEB8-4430-88E6-2F2D418EB0D4}" name="NO. TELEPON INSTANSI BEKERJA AYAH"/>
    <tableColumn id="56" xr3:uid="{673D71AC-F4D4-45E0-A209-47C0FA61E332}" name="PENGHASILAN AYAH PER BULAN"/>
    <tableColumn id="57" xr3:uid="{91CE081D-8689-4619-B353-5543C75652C0}" name="EMAIL AYAH"/>
    <tableColumn id="58" xr3:uid="{86750CC9-8D9E-4964-9063-EE18EA0B15C3}" name="AKUN SOSIAL MEDIA (WhatsApp, Facebook, Instagram, Twitter)"/>
    <tableColumn id="59" xr3:uid="{3CB26029-F5D3-4FF4-A420-FD6FC5F71B06}" name="NAMA LENGKAP IBU KANDUNG (Beserta gelar)"/>
    <tableColumn id="60" xr3:uid="{5A49A764-7FA7-4A88-9C87-D481CBF9E91B}" name="TEMPAT LAHIR IBU"/>
    <tableColumn id="61" xr3:uid="{A287457B-3075-4F91-8E88-E2CEF828A6EA}" name="TANGGAL LAHIR IBU"/>
    <tableColumn id="62" xr3:uid="{1D14A126-2C3C-4788-B17E-86C9B0FB67E7}" name="NIK IBU"/>
    <tableColumn id="63" xr3:uid="{B32DEBCA-5A96-475F-9064-1BE2B90C4A1F}" name="ALAMAT TEMPAT TINGGAL IBU"/>
    <tableColumn id="64" xr3:uid="{D9C3FD3C-C36D-498B-90C8-FA91217ED153}" name="RT 3"/>
    <tableColumn id="65" xr3:uid="{D474D8F1-D627-459B-8BCD-BB7855BBABA8}" name="RW 3"/>
    <tableColumn id="66" xr3:uid="{D1378DF8-CAC1-4568-AC8B-A66A782336B4}" name="KELURAHAN 3"/>
    <tableColumn id="67" xr3:uid="{BF71C845-03EA-4C5C-B0FF-4792266068AE}" name="KECAMATAN 3"/>
    <tableColumn id="68" xr3:uid="{0D199DBF-8FE5-4174-876F-E1741E7739AA}" name="KABUPATEN/KOTA 3"/>
    <tableColumn id="69" xr3:uid="{253CF1CF-EB40-4ADC-8DE8-D86895C1D7E4}" name="KODE POS 2"/>
    <tableColumn id="70" xr3:uid="{6E6D59D4-2315-4182-B313-F0D6FF525A63}" name="KEWARGANEGARAAN 3"/>
    <tableColumn id="71" xr3:uid="{B8A8392A-AE67-471F-B530-B814432BACCB}" name="AGAMA 2"/>
    <tableColumn id="72" xr3:uid="{85AB39DA-E00B-4709-9713-136230CEC674}" name="NO. HANDPHONE IBU"/>
    <tableColumn id="73" xr3:uid="{05AA4032-DF09-468F-B50A-3A564E226E48}" name="PENDIDIKAN TERAKHIR"/>
    <tableColumn id="74" xr3:uid="{1BF2D30D-173F-4013-97E5-5DFEE3EA3CB8}" name="PEKERJAAN IBU"/>
    <tableColumn id="75" xr3:uid="{9404EC7D-E388-4AEC-BA3A-E61EE84BF09C}" name="INSTANSI TEMPAT BEKERJA IBU"/>
    <tableColumn id="76" xr3:uid="{2DE34F72-EF0E-418A-851E-E065D7774840}" name="ALAMAT LENGKAP INSTANSI (alamat, RT, RW, kelurahan, kecamatan, kab/kota)"/>
    <tableColumn id="77" xr3:uid="{2311823A-5B70-44E4-867C-7332A3022EF9}" name="NO. TELEPON INSTANSI"/>
    <tableColumn id="78" xr3:uid="{AA94B576-5F36-4249-A834-9FC5349F59CA}" name="PENGHASILAN IBU PER BULAN"/>
    <tableColumn id="79" xr3:uid="{25EE1DD1-99D2-4A5B-9E06-46E352C46DE0}" name="EMAIL IBU"/>
    <tableColumn id="80" xr3:uid="{8C2C39EE-99A8-495B-8A9C-E545E860E189}" name="AKUN SOSIAL MEDIA (WhatsApp, Facebook, Instagram, Twitter) 2"/>
    <tableColumn id="81" xr3:uid="{2B63ADAF-C5F4-4A7E-8184-1A31557DA7D2}" name="NAMA LENGKAP WALI (beserta gelar)"/>
    <tableColumn id="82" xr3:uid="{6D5F13EB-6F7A-42B1-B1ED-F875CB90B0A3}" name="TEMPAT LAHIR WALI"/>
    <tableColumn id="83" xr3:uid="{A5E76891-9704-45AE-A371-7CB3216819CA}" name="TANGGAL LAHIR WALI"/>
    <tableColumn id="84" xr3:uid="{CB9D466C-1789-4E97-8697-CD04E8FCC723}" name="NIK WALI"/>
    <tableColumn id="85" xr3:uid="{83A7FE77-9799-4482-A545-C8C3016409CD}" name="ALAMAT TEMPAT TINGGAL WALI"/>
    <tableColumn id="86" xr3:uid="{D281A23D-680F-4AE4-908C-7CC75D3FC11C}" name="RT 4"/>
    <tableColumn id="87" xr3:uid="{29604738-9B8D-410B-85E5-2E697AD92415}" name="RW 4"/>
    <tableColumn id="88" xr3:uid="{033E8025-2583-4532-A568-6528DB9D43EF}" name="KELURAHAN 4"/>
    <tableColumn id="89" xr3:uid="{6326B1D9-92C8-4163-9DDE-B4C6A4DA0FC9}" name="KECAMATAN 4"/>
    <tableColumn id="90" xr3:uid="{7E81BF1F-FD93-4877-9CDA-1805C4419E22}" name="KABUPATEN/KOTA 4"/>
    <tableColumn id="91" xr3:uid="{11682C35-CE52-4EFF-81EC-266204247E96}" name="KEWARGANEGARAAN 4"/>
    <tableColumn id="92" xr3:uid="{C675F89F-DA8A-4CB2-A676-A73A229A3F2E}" name="AGAMA 3"/>
    <tableColumn id="93" xr3:uid="{E3764ED1-F77E-4769-AC2F-09992986C91C}" name="NO. HANDPHONE WALI"/>
    <tableColumn id="94" xr3:uid="{6180130F-C9B5-4017-998F-A49AA4E4CAB7}" name="PENDIDIKAN TERAKHIR 2"/>
    <tableColumn id="95" xr3:uid="{547DDAE7-8A37-4EDC-9683-5B09E3ED51A1}" name="PEKERJAAN WALI"/>
    <tableColumn id="96" xr3:uid="{6369D617-4BBB-42BC-94AB-DCC307FC8B16}" name="INSTANSI TEMPAT BEKERJA WALI"/>
    <tableColumn id="97" xr3:uid="{6A665852-9B4D-4302-BDC5-A8B147972FA1}" name="ALAMAT LENGKAP INSTANSI (alamat, RT, RW, kelurahan, kecamatan, kab/kot)"/>
    <tableColumn id="98" xr3:uid="{AA11718F-5EBD-49B9-8427-4B60B6295985}" name="NO.TELEPON INSTANSI"/>
    <tableColumn id="99" xr3:uid="{59495DA1-2822-4D99-A053-5F516284192A}" name="PENGHASILAN WALI PER BULAN"/>
    <tableColumn id="100" xr3:uid="{3987ADC7-DEDC-4C43-9617-6E4798AE77C4}" name="EMAIL WALI"/>
    <tableColumn id="101" xr3:uid="{638755AC-1AB1-4D9C-9783-6286A0A46818}" name="AKUN SOSIAL MEDIA (WhatsApp, Facebook, Instagram, Twitter) 3"/>
    <tableColumn id="102" xr3:uid="{4A82853F-7F30-4491-A055-FE0788D63D03}" name="SEKOLAH ASAL"/>
    <tableColumn id="103" xr3:uid="{7CAC04D9-8A78-47A5-A693-B04EFD62EA2C}" name="NAMA SEKOLAH ASAL"/>
    <tableColumn id="104" xr3:uid="{90204865-4616-4181-8E6F-163704B5421B}" name="ALAMAT SEKOLAH ASAL"/>
    <tableColumn id="105" xr3:uid="{E4EDD3D4-F40B-420F-B8C5-6F0EC140F3B1}" name="USIA MASUK SD/MI/SPK"/>
    <tableColumn id="106" xr3:uid="{BBE0A9C7-AA81-402D-93F8-3EB40B607457}" name="LAMA PENDIDIKAN DI SD/MI/SPK"/>
    <tableColumn id="107" xr3:uid="{A30AF28A-18B8-4EB5-8CB2-C5F39EEDF4EA}" name="USIA MASUK SD/MI/SPK (diisi ... tahun ... bulan)"/>
    <tableColumn id="108" xr3:uid="{E7DCCA78-4686-4064-B277-4EDAD64630D7}" name="PELAYANAN KHUSUS YANG PERNAH DITERIMA_x000a_(contoh: terapi wicara)"/>
    <tableColumn id="109" xr3:uid="{97017AF7-0428-4080-A2CC-1D14F4618B54}" name="PRESTASI BELAJAR YANG DICAPAI"/>
    <tableColumn id="110" xr3:uid="{B5A4A035-DA50-4C03-B055-D4BD11851CB4}" name="MATERI BELAJAR YANG DIRASA PALING SULIT"/>
    <tableColumn id="111" xr3:uid="{4815D7D3-4234-4C60-BDA0-58D26B1A3FDE}" name="MATERI BELAJAR YANG DIRASA PALING DISENANGI"/>
    <tableColumn id="112" xr3:uid="{D5E1C7AD-24D8-4167-814A-E3BBB7B3C48E}" name="RUMAH/TEMPAT TINGGAL KELUARGA"/>
    <tableColumn id="113" xr3:uid="{9337C2A4-2E78-4B30-BAB6-58F7E96BE2A6}" name="JUMLAH PENGHUNI RUMAH ( ... dewasa, ... anak-anak)"/>
    <tableColumn id="114" xr3:uid="{371BE924-903B-4531-9E0E-8C44562E0AB0}" name="STATUS TEMPAT TINGGAL"/>
    <tableColumn id="115" xr3:uid="{D2E9C0EC-047A-40F7-8D00-EFC85E72776E}" name="ANANDA TINGGAL BERSAMA"/>
    <tableColumn id="116" xr3:uid="{B66256C5-3EB7-4758-A8C3-6A6D93C37010}" name="KESEMPATAN BERGAUL DENGAN TEMAN-TEMAN SEBAYANYA"/>
    <tableColumn id="117" xr3:uid="{4F3770D4-39A5-455A-9BD8-01A29F26C3FF}" name="IKLIM KEAGAMAAN (ISLAM) DI LINGKUNGAN KELUARGA SEKITAR RUMAH"/>
    <tableColumn id="118" xr3:uid="{9ABC781D-575E-4DB6-8316-A452BFE5F61B}" name="LINGKUNGAN DI SEKITAR RUMAH"/>
    <tableColumn id="119" xr3:uid="{E7D60368-98A3-47B8-BF14-01FB7C1AECD4}" name="LINGKUNGAN DI SEKITAR RUMAH 2"/>
    <tableColumn id="120" xr3:uid="{F2FEF4CC-A74B-4B07-A915-BF77A026227D}" name="KEBIASAAN BERMAIN ANANDA"/>
    <tableColumn id="121" xr3:uid="{A48F8B1C-1101-4410-A3B3-544C45021611}" name="TEMPAT BERMAIN ANANDA"/>
    <tableColumn id="122" xr3:uid="{DC9F5933-5AC4-4654-9C07-E05C31FA1C93}" name="PARTNER BERMAIN ANANDA"/>
    <tableColumn id="123" xr3:uid="{11487107-1A1E-4231-8A02-373539CA1F08}" name="ALERGI MAKANAN"/>
    <tableColumn id="124" xr3:uid="{DC0FA608-F5DF-469B-BDAD-B6A857CFA0E1}" name="ALERGI MINUMAN"/>
    <tableColumn id="125" xr3:uid="{7B772E4D-F6CA-4E17-9A1E-28758B0CA5EF}" name="ALERGI OBAT"/>
    <tableColumn id="126" xr3:uid="{EFA62094-0E9D-4550-BBFF-3F8681CE2080}" name="ALERGI BAHAN MAKANAN _x000a_(contoh: bawang putih, bawang bombai, tomat)"/>
    <tableColumn id="127" xr3:uid="{C3192BDC-A1C2-4CFA-9BFD-D2D181E1D679}" name="HUBUNGAN ANANDA DENGAN AYAH"/>
    <tableColumn id="128" xr3:uid="{C9089377-4690-4436-8D2D-5A7846984D90}" name="HUBUNGAN ANANDA DENGAN IBU"/>
    <tableColumn id="129" xr3:uid="{130C0C49-3B4B-47CA-90DA-53447B1DCD20}" name="HUBUNGAN ANANDA DENGAN SAUDARA"/>
    <tableColumn id="130" xr3:uid="{0CEA19D5-B893-4CC8-84C7-C9E56F957C30}" name="HUBUNGAN ANANDA DENGAN TEMAN SEBAYA"/>
    <tableColumn id="131" xr3:uid="{BBB922D4-6A2F-465F-B48D-41AD60280DC2}" name="HUBUNGAN ANANDA SEHARI-HARI PALING ERAT DENGAN "/>
    <tableColumn id="132" xr3:uid="{1143EE48-B7FF-4E75-8622-9EF3DC8E7DED}" name="KEPATUHAN ANANDA DI RUMAH"/>
    <tableColumn id="133" xr3:uid="{2AF6ED73-777C-40CD-9CC8-973131B7EC60}" name="KARAKTER ATAU SIFAT ANANDA"/>
    <tableColumn id="134" xr3:uid="{BB958DD1-222F-456E-B139-292C68E765C7}" name="HAL-HAL LAIN MENGENAI TINGKAH LAKU ANANDA DI RUMAH YANG PERLU DIKEMUKAKAN (YANG BAIK)"/>
    <tableColumn id="135" xr3:uid="{AAB6C1DD-CA68-446E-BA96-A4DF5C5EFB02}" name="HAL-HAL LAIN MENGENAI TINGKAH LAKU ANANDA DI RUMAH YANG PERLU DIKEMUKAKAN (YANG KURANG BAIK)"/>
    <tableColumn id="136" xr3:uid="{DEC84F7E-1B97-45BA-AE71-7C3B14A4F754}" name="CITA-CITA ORANGTUA TERHADAP ANANDA"/>
    <tableColumn id="137" xr3:uid="{1FA527FA-B7FB-48AD-9C01-F23B8BFCF30F}" name="KOMPETENSI/KEMAMPUAN HARAPAN ORANGTUA KETIKA ANANDA LULUS SEKOLAH MENENGAH PERTAMA"/>
    <tableColumn id="138" xr3:uid="{4ACE74E0-D7E2-458D-81CE-E5C0B799D233}" name="SEKOLAH MENENGAH ATAS YANG DIRENCANAKAN SETELAH ANANDA LULUS SEKOLAH MENENGAH PERTAMA"/>
    <tableColumn id="139" xr3:uid="{6450E805-6431-4B85-ACA2-C2B9263B6E27}" name="JARAK TEMPAT TINGGAL KE SEKOLAH (satuan km)"/>
    <tableColumn id="140" xr3:uid="{242A1475-2F32-4659-98BF-83844BD6F256}" name="AKOMODASI KE SEKOLAH"/>
    <tableColumn id="141" xr3:uid="{4DAB3272-B450-4C33-A5C7-6B525D701A45}" name="ORANG YANG DIPERCAYA MENGANTAR/MENJEMPUT ANANDA"/>
    <tableColumn id="142" xr3:uid="{35CB73C0-4C1C-4DC7-A813-160A6A42E2BA}" name="PESAN ORANGTUA KEPADA KEPALA / GURU SMP ANAK SALEH"/>
    <tableColumn id="143" xr3:uid="{D66BEF6C-32DC-49F6-BA27-7B299638369A}" name="CARA MENGHUBUNGI JIKA DALAM KEADAAN DARURAT"/>
    <tableColumn id="144" xr3:uid="{EA73C372-BCAF-4F9D-BDF8-C0EAC6E3D40D}" name="SARAN-SARAN ORANGTUA KEPADA SEKOLAH"/>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I18"/>
  <sheetViews>
    <sheetView tabSelected="1" topLeftCell="C1" workbookViewId="0">
      <pane xSplit="2940" ySplit="795" activePane="bottomRight"/>
      <selection activeCell="AE11" sqref="AE11"/>
      <selection pane="topRight" activeCell="H1" sqref="H1:H1048576"/>
      <selection pane="bottomLeft" activeCell="C11" sqref="C11"/>
      <selection pane="bottomRight" activeCell="DH25" sqref="DH25"/>
    </sheetView>
  </sheetViews>
  <sheetFormatPr defaultColWidth="12.5703125" defaultRowHeight="15.75" customHeight="1" x14ac:dyDescent="0.2"/>
  <cols>
    <col min="1" max="1" width="3.7109375" style="10" bestFit="1" customWidth="1"/>
    <col min="2" max="2" width="24.28515625" style="10" bestFit="1" customWidth="1"/>
    <col min="3" max="3" width="38.85546875" bestFit="1" customWidth="1"/>
    <col min="4" max="4" width="28.85546875" bestFit="1" customWidth="1"/>
    <col min="5" max="5" width="81" bestFit="1" customWidth="1"/>
    <col min="6" max="6" width="10" style="10" customWidth="1"/>
    <col min="7" max="7" width="15.85546875" style="12" customWidth="1"/>
    <col min="8" max="9" width="24.28515625" style="10" customWidth="1"/>
    <col min="10" max="10" width="26.85546875" style="10" bestFit="1" customWidth="1"/>
    <col min="11" max="11" width="38.28515625" bestFit="1" customWidth="1"/>
    <col min="12" max="12" width="12" style="10" bestFit="1" customWidth="1"/>
    <col min="13" max="13" width="17.85546875" style="10" bestFit="1" customWidth="1"/>
    <col min="14" max="15" width="18.28515625" style="10" bestFit="1" customWidth="1"/>
    <col min="16" max="16" width="15.28515625" style="10" bestFit="1" customWidth="1"/>
    <col min="17" max="17" width="17.28515625" style="12" bestFit="1" customWidth="1"/>
    <col min="18" max="18" width="20.85546875" style="10" bestFit="1" customWidth="1"/>
    <col min="19" max="19" width="22.28515625" style="10" bestFit="1" customWidth="1"/>
    <col min="20" max="20" width="31" bestFit="1" customWidth="1"/>
    <col min="21" max="21" width="51" bestFit="1" customWidth="1"/>
    <col min="22" max="22" width="55.140625" bestFit="1" customWidth="1"/>
    <col min="23" max="23" width="4" style="10" bestFit="1" customWidth="1"/>
    <col min="24" max="24" width="4.140625" style="10" bestFit="1" customWidth="1"/>
    <col min="25" max="25" width="18.140625" bestFit="1" customWidth="1"/>
    <col min="26" max="26" width="16" bestFit="1" customWidth="1"/>
    <col min="27" max="27" width="21" bestFit="1" customWidth="1"/>
    <col min="28" max="28" width="10.140625" style="10" bestFit="1" customWidth="1"/>
    <col min="29" max="29" width="21" bestFit="1" customWidth="1"/>
    <col min="30" max="30" width="16.5703125" bestFit="1" customWidth="1"/>
    <col min="31" max="31" width="50" bestFit="1" customWidth="1"/>
    <col min="32" max="32" width="48.140625" bestFit="1" customWidth="1"/>
    <col min="33" max="33" width="9.140625" bestFit="1" customWidth="1"/>
    <col min="34" max="34" width="28.42578125" bestFit="1" customWidth="1"/>
    <col min="35" max="35" width="22.7109375" bestFit="1" customWidth="1"/>
    <col min="36" max="36" width="27" bestFit="1" customWidth="1"/>
    <col min="37" max="37" width="35.140625" bestFit="1" customWidth="1"/>
    <col min="38" max="38" width="27.7109375" bestFit="1" customWidth="1"/>
    <col min="39" max="39" width="7.85546875" bestFit="1" customWidth="1"/>
    <col min="40" max="40" width="14.7109375" bestFit="1" customWidth="1"/>
    <col min="41" max="41" width="25" style="10" bestFit="1" customWidth="1"/>
    <col min="42" max="42" width="26" style="10" bestFit="1" customWidth="1"/>
    <col min="43" max="43" width="19" style="10" bestFit="1" customWidth="1"/>
    <col min="44" max="44" width="17.42578125" bestFit="1" customWidth="1"/>
    <col min="45" max="45" width="17" bestFit="1" customWidth="1"/>
    <col min="46" max="46" width="19.85546875" bestFit="1" customWidth="1"/>
    <col min="47" max="47" width="46" bestFit="1" customWidth="1"/>
    <col min="48" max="48" width="20.5703125" bestFit="1" customWidth="1"/>
    <col min="49" max="49" width="22.140625" style="10" bestFit="1" customWidth="1"/>
    <col min="50" max="50" width="17.28515625" bestFit="1" customWidth="1"/>
    <col min="51" max="51" width="69" bestFit="1" customWidth="1"/>
    <col min="52" max="52" width="69" customWidth="1"/>
    <col min="53" max="53" width="5" style="10" bestFit="1" customWidth="1"/>
    <col min="54" max="54" width="5.7109375" style="10" bestFit="1" customWidth="1"/>
    <col min="55" max="55" width="18.5703125" bestFit="1" customWidth="1"/>
    <col min="56" max="56" width="18.85546875" bestFit="1" customWidth="1"/>
    <col min="57" max="57" width="19.85546875" bestFit="1" customWidth="1"/>
    <col min="58" max="58" width="10.7109375" style="10" bestFit="1" customWidth="1"/>
    <col min="59" max="59" width="27.7109375" bestFit="1" customWidth="1"/>
    <col min="60" max="60" width="13.5703125" style="10" bestFit="1" customWidth="1"/>
    <col min="61" max="61" width="22.42578125" style="10" bestFit="1" customWidth="1"/>
    <col min="62" max="62" width="28.28515625" bestFit="1" customWidth="1"/>
    <col min="63" max="63" width="20.7109375" bestFit="1" customWidth="1"/>
    <col min="64" max="64" width="33.140625" bestFit="1" customWidth="1"/>
    <col min="65" max="65" width="90.85546875" bestFit="1" customWidth="1"/>
    <col min="66" max="66" width="38.28515625" style="10" bestFit="1" customWidth="1"/>
    <col min="67" max="67" width="31.7109375" style="21" bestFit="1" customWidth="1"/>
    <col min="68" max="68" width="29.42578125" bestFit="1" customWidth="1"/>
    <col min="69" max="69" width="60.28515625" bestFit="1" customWidth="1"/>
    <col min="70" max="70" width="48.85546875" bestFit="1" customWidth="1"/>
    <col min="71" max="71" width="18.7109375" bestFit="1" customWidth="1"/>
    <col min="72" max="72" width="20.140625" style="10" bestFit="1" customWidth="1"/>
    <col min="73" max="73" width="17.28515625" bestFit="1" customWidth="1"/>
    <col min="74" max="74" width="55.140625" bestFit="1" customWidth="1"/>
    <col min="75" max="75" width="5" style="10" bestFit="1" customWidth="1"/>
    <col min="76" max="76" width="5.7109375" style="10" bestFit="1" customWidth="1"/>
    <col min="77" max="77" width="14.7109375" bestFit="1" customWidth="1"/>
    <col min="78" max="78" width="18.85546875" bestFit="1" customWidth="1"/>
    <col min="79" max="79" width="24.42578125" bestFit="1" customWidth="1"/>
    <col min="80" max="80" width="12.28515625" style="10" bestFit="1" customWidth="1"/>
    <col min="81" max="81" width="27.7109375" bestFit="1" customWidth="1"/>
    <col min="82" max="82" width="9.42578125" bestFit="1" customWidth="1"/>
    <col min="83" max="83" width="20.42578125" style="10" bestFit="1" customWidth="1"/>
    <col min="84" max="84" width="22.5703125" bestFit="1" customWidth="1"/>
    <col min="85" max="85" width="20.7109375" bestFit="1" customWidth="1"/>
    <col min="86" max="86" width="47" bestFit="1" customWidth="1"/>
    <col min="87" max="87" width="75.85546875" bestFit="1" customWidth="1"/>
    <col min="88" max="88" width="23.140625" style="10" bestFit="1" customWidth="1"/>
    <col min="89" max="89" width="29.85546875" bestFit="1" customWidth="1"/>
    <col min="90" max="90" width="28.28515625" bestFit="1" customWidth="1"/>
    <col min="91" max="91" width="61.85546875" bestFit="1" customWidth="1"/>
    <col min="92" max="92" width="35.85546875" bestFit="1" customWidth="1"/>
    <col min="93" max="93" width="20.42578125" bestFit="1" customWidth="1"/>
    <col min="94" max="94" width="22" style="10" bestFit="1" customWidth="1"/>
    <col min="95" max="95" width="18.28515625" bestFit="1" customWidth="1"/>
    <col min="96" max="96" width="55.140625" bestFit="1" customWidth="1"/>
    <col min="97" max="97" width="5" bestFit="1" customWidth="1"/>
    <col min="98" max="98" width="5.7109375" bestFit="1" customWidth="1"/>
    <col min="99" max="99" width="14" bestFit="1" customWidth="1"/>
    <col min="100" max="100" width="18.85546875" bestFit="1" customWidth="1"/>
    <col min="101" max="101" width="24.42578125" bestFit="1" customWidth="1"/>
    <col min="102" max="102" width="27.7109375" bestFit="1" customWidth="1"/>
    <col min="103" max="103" width="9.42578125" bestFit="1" customWidth="1"/>
    <col min="104" max="104" width="22.28515625" bestFit="1" customWidth="1"/>
    <col min="105" max="105" width="24.140625" bestFit="1" customWidth="1"/>
    <col min="106" max="106" width="17.7109375" bestFit="1" customWidth="1"/>
    <col min="107" max="107" width="33" bestFit="1" customWidth="1"/>
    <col min="108" max="108" width="74.5703125" bestFit="1" customWidth="1"/>
    <col min="109" max="109" width="22.5703125" bestFit="1" customWidth="1"/>
    <col min="110" max="110" width="31.5703125" bestFit="1" customWidth="1"/>
    <col min="111" max="111" width="29.42578125" bestFit="1" customWidth="1"/>
    <col min="112" max="112" width="61.85546875" bestFit="1" customWidth="1"/>
  </cols>
  <sheetData>
    <row r="1" spans="1:113" s="8" customFormat="1" ht="27" customHeight="1" x14ac:dyDescent="0.2">
      <c r="A1" s="8" t="s">
        <v>742</v>
      </c>
      <c r="B1" s="8" t="s">
        <v>797</v>
      </c>
      <c r="C1" s="9" t="s">
        <v>101</v>
      </c>
      <c r="D1" s="8" t="s">
        <v>101</v>
      </c>
      <c r="E1" s="8" t="s">
        <v>103</v>
      </c>
      <c r="F1" s="8" t="s">
        <v>743</v>
      </c>
      <c r="G1" s="8" t="s">
        <v>744</v>
      </c>
      <c r="H1" s="8" t="s">
        <v>1028</v>
      </c>
      <c r="I1" s="8" t="s">
        <v>798</v>
      </c>
      <c r="J1" s="9" t="s">
        <v>5</v>
      </c>
      <c r="K1" s="9" t="s">
        <v>2</v>
      </c>
      <c r="L1" s="9" t="s">
        <v>799</v>
      </c>
      <c r="M1" s="9" t="s">
        <v>800</v>
      </c>
      <c r="N1" s="9" t="s">
        <v>3</v>
      </c>
      <c r="O1" s="9" t="s">
        <v>4</v>
      </c>
      <c r="P1" s="9" t="s">
        <v>6</v>
      </c>
      <c r="Q1" s="9" t="s">
        <v>7</v>
      </c>
      <c r="R1" s="9" t="s">
        <v>8</v>
      </c>
      <c r="S1" s="9" t="s">
        <v>909</v>
      </c>
      <c r="T1" s="9" t="s">
        <v>9</v>
      </c>
      <c r="U1" s="9" t="s">
        <v>10</v>
      </c>
      <c r="V1" s="9" t="s">
        <v>11</v>
      </c>
      <c r="W1" s="9" t="s">
        <v>12</v>
      </c>
      <c r="X1" s="9" t="s">
        <v>13</v>
      </c>
      <c r="Y1" s="9" t="s">
        <v>14</v>
      </c>
      <c r="Z1" s="9" t="s">
        <v>15</v>
      </c>
      <c r="AA1" s="9" t="s">
        <v>16</v>
      </c>
      <c r="AB1" s="9" t="s">
        <v>17</v>
      </c>
      <c r="AC1" s="9" t="s">
        <v>18</v>
      </c>
      <c r="AD1" s="9" t="s">
        <v>19</v>
      </c>
      <c r="AE1" s="9" t="s">
        <v>20</v>
      </c>
      <c r="AF1" s="9" t="s">
        <v>21</v>
      </c>
      <c r="AG1" s="9" t="s">
        <v>22</v>
      </c>
      <c r="AH1" s="9" t="s">
        <v>23</v>
      </c>
      <c r="AI1" s="9" t="s">
        <v>24</v>
      </c>
      <c r="AJ1" s="9" t="s">
        <v>25</v>
      </c>
      <c r="AK1" s="9" t="s">
        <v>26</v>
      </c>
      <c r="AL1" s="9" t="s">
        <v>27</v>
      </c>
      <c r="AM1" s="9" t="s">
        <v>28</v>
      </c>
      <c r="AN1" s="9" t="s">
        <v>29</v>
      </c>
      <c r="AO1" s="9" t="s">
        <v>30</v>
      </c>
      <c r="AP1" s="9" t="s">
        <v>31</v>
      </c>
      <c r="AQ1" s="9" t="s">
        <v>32</v>
      </c>
      <c r="AR1" s="9" t="s">
        <v>33</v>
      </c>
      <c r="AS1" s="9" t="s">
        <v>34</v>
      </c>
      <c r="AT1" s="9" t="s">
        <v>35</v>
      </c>
      <c r="AU1" s="9" t="s">
        <v>36</v>
      </c>
      <c r="AV1" s="9" t="s">
        <v>37</v>
      </c>
      <c r="AW1" s="9" t="s">
        <v>38</v>
      </c>
      <c r="AX1" s="9" t="s">
        <v>39</v>
      </c>
      <c r="AY1" s="9" t="s">
        <v>40</v>
      </c>
      <c r="AZ1" s="9"/>
      <c r="BA1" s="9" t="s">
        <v>41</v>
      </c>
      <c r="BB1" s="9" t="s">
        <v>42</v>
      </c>
      <c r="BC1" s="9" t="s">
        <v>43</v>
      </c>
      <c r="BD1" s="9" t="s">
        <v>44</v>
      </c>
      <c r="BE1" s="9" t="s">
        <v>45</v>
      </c>
      <c r="BF1" s="9" t="s">
        <v>46</v>
      </c>
      <c r="BG1" s="9" t="s">
        <v>47</v>
      </c>
      <c r="BH1" s="9" t="s">
        <v>48</v>
      </c>
      <c r="BI1" s="9" t="s">
        <v>49</v>
      </c>
      <c r="BJ1" s="9" t="s">
        <v>50</v>
      </c>
      <c r="BK1" s="9" t="s">
        <v>51</v>
      </c>
      <c r="BL1" s="9" t="s">
        <v>52</v>
      </c>
      <c r="BM1" s="9" t="s">
        <v>53</v>
      </c>
      <c r="BN1" s="9" t="s">
        <v>54</v>
      </c>
      <c r="BO1" s="19" t="s">
        <v>55</v>
      </c>
      <c r="BP1" s="9" t="s">
        <v>56</v>
      </c>
      <c r="BQ1" s="9" t="s">
        <v>57</v>
      </c>
      <c r="BR1" s="9" t="s">
        <v>58</v>
      </c>
      <c r="BS1" s="9" t="s">
        <v>59</v>
      </c>
      <c r="BT1" s="9" t="s">
        <v>60</v>
      </c>
      <c r="BU1" s="9" t="s">
        <v>61</v>
      </c>
      <c r="BV1" s="9" t="s">
        <v>62</v>
      </c>
      <c r="BW1" s="9" t="s">
        <v>63</v>
      </c>
      <c r="BX1" s="9" t="s">
        <v>64</v>
      </c>
      <c r="BY1" s="9" t="s">
        <v>65</v>
      </c>
      <c r="BZ1" s="9" t="s">
        <v>66</v>
      </c>
      <c r="CA1" s="9" t="s">
        <v>67</v>
      </c>
      <c r="CB1" s="9" t="s">
        <v>68</v>
      </c>
      <c r="CC1" s="9" t="s">
        <v>69</v>
      </c>
      <c r="CD1" s="9" t="s">
        <v>70</v>
      </c>
      <c r="CE1" s="9" t="s">
        <v>71</v>
      </c>
      <c r="CF1" s="9" t="s">
        <v>72</v>
      </c>
      <c r="CG1" s="9" t="s">
        <v>73</v>
      </c>
      <c r="CH1" s="9" t="s">
        <v>74</v>
      </c>
      <c r="CI1" s="9" t="s">
        <v>75</v>
      </c>
      <c r="CJ1" s="9" t="s">
        <v>76</v>
      </c>
      <c r="CK1" s="9" t="s">
        <v>77</v>
      </c>
      <c r="CL1" s="9" t="s">
        <v>78</v>
      </c>
      <c r="CM1" s="9" t="s">
        <v>79</v>
      </c>
      <c r="CN1" s="9" t="s">
        <v>80</v>
      </c>
      <c r="CO1" s="9" t="s">
        <v>81</v>
      </c>
      <c r="CP1" s="9" t="s">
        <v>82</v>
      </c>
      <c r="CQ1" s="9" t="s">
        <v>83</v>
      </c>
      <c r="CR1" s="9" t="s">
        <v>84</v>
      </c>
      <c r="CS1" s="9" t="s">
        <v>85</v>
      </c>
      <c r="CT1" s="9" t="s">
        <v>86</v>
      </c>
      <c r="CU1" s="9" t="s">
        <v>87</v>
      </c>
      <c r="CV1" s="9" t="s">
        <v>88</v>
      </c>
      <c r="CW1" s="9" t="s">
        <v>89</v>
      </c>
      <c r="CX1" s="9" t="s">
        <v>90</v>
      </c>
      <c r="CY1" s="9" t="s">
        <v>91</v>
      </c>
      <c r="CZ1" s="9" t="s">
        <v>92</v>
      </c>
      <c r="DA1" s="9" t="s">
        <v>93</v>
      </c>
      <c r="DB1" s="9" t="s">
        <v>94</v>
      </c>
      <c r="DC1" s="9" t="s">
        <v>95</v>
      </c>
      <c r="DD1" s="9" t="s">
        <v>96</v>
      </c>
      <c r="DE1" s="9" t="s">
        <v>97</v>
      </c>
      <c r="DF1" s="9" t="s">
        <v>98</v>
      </c>
      <c r="DG1" s="9" t="s">
        <v>99</v>
      </c>
      <c r="DH1" s="9" t="s">
        <v>100</v>
      </c>
    </row>
    <row r="2" spans="1:113" s="7" customFormat="1" ht="24.75" customHeight="1" x14ac:dyDescent="0.2">
      <c r="A2" s="12">
        <v>1</v>
      </c>
      <c r="B2" s="14" t="s">
        <v>831</v>
      </c>
      <c r="C2" s="7" t="s">
        <v>186</v>
      </c>
      <c r="D2" s="7" t="s">
        <v>598</v>
      </c>
      <c r="E2" s="7" t="s">
        <v>939</v>
      </c>
      <c r="F2" s="18" t="s">
        <v>923</v>
      </c>
      <c r="G2" s="13" t="s">
        <v>815</v>
      </c>
      <c r="H2" s="36" t="s">
        <v>1035</v>
      </c>
      <c r="I2" s="13" t="s">
        <v>936</v>
      </c>
      <c r="J2" s="12" t="s">
        <v>575</v>
      </c>
      <c r="K2" s="7" t="s">
        <v>572</v>
      </c>
      <c r="L2" s="12">
        <v>7</v>
      </c>
      <c r="M2" s="12" t="s">
        <v>801</v>
      </c>
      <c r="N2" s="12" t="s">
        <v>573</v>
      </c>
      <c r="O2" s="12" t="s">
        <v>574</v>
      </c>
      <c r="P2" s="12" t="s">
        <v>286</v>
      </c>
      <c r="Q2" s="12" t="s">
        <v>226</v>
      </c>
      <c r="R2" s="22" t="s">
        <v>765</v>
      </c>
      <c r="S2" s="16" t="e">
        <f ca="1">DATEDIF(R2, TODAY(), "Y") &amp; " Tahun " &amp; DATEDIF(R2, TODAY(), "YM") &amp; " Bulan " &amp; DATEDIF(R2, TODAY(), "MD") &amp; " Hari"</f>
        <v>#VALUE!</v>
      </c>
      <c r="T2" s="7" t="s">
        <v>151</v>
      </c>
      <c r="V2" s="7" t="s">
        <v>576</v>
      </c>
      <c r="W2" s="12" t="s">
        <v>577</v>
      </c>
      <c r="X2" s="12" t="s">
        <v>577</v>
      </c>
      <c r="Y2" s="7" t="s">
        <v>578</v>
      </c>
      <c r="Z2" s="7" t="s">
        <v>489</v>
      </c>
      <c r="AA2" s="7" t="s">
        <v>490</v>
      </c>
      <c r="AB2" s="12">
        <v>65145</v>
      </c>
      <c r="AC2" s="7" t="s">
        <v>579</v>
      </c>
      <c r="AD2" s="7" t="s">
        <v>579</v>
      </c>
      <c r="AE2" s="7" t="s">
        <v>580</v>
      </c>
      <c r="AF2" s="7" t="s">
        <v>581</v>
      </c>
      <c r="AG2" s="7">
        <v>3</v>
      </c>
      <c r="AH2" s="7">
        <v>3</v>
      </c>
      <c r="AI2" s="7">
        <v>0</v>
      </c>
      <c r="AJ2" s="7">
        <v>0</v>
      </c>
      <c r="AK2" s="7" t="s">
        <v>582</v>
      </c>
      <c r="AL2" s="7" t="s">
        <v>161</v>
      </c>
      <c r="AM2" s="7" t="s">
        <v>162</v>
      </c>
      <c r="AN2" s="7" t="s">
        <v>236</v>
      </c>
      <c r="AO2" s="12">
        <v>41</v>
      </c>
      <c r="AP2" s="12">
        <v>155</v>
      </c>
      <c r="AQ2" s="12" t="s">
        <v>238</v>
      </c>
      <c r="AR2" s="7" t="s">
        <v>295</v>
      </c>
      <c r="AS2" s="7" t="s">
        <v>239</v>
      </c>
      <c r="AT2" s="7" t="s">
        <v>167</v>
      </c>
      <c r="AU2" s="7" t="s">
        <v>583</v>
      </c>
      <c r="AV2" s="7" t="s">
        <v>226</v>
      </c>
      <c r="AW2" s="14" t="s">
        <v>937</v>
      </c>
      <c r="AX2" s="7" t="s">
        <v>584</v>
      </c>
      <c r="AY2" s="7" t="s">
        <v>585</v>
      </c>
      <c r="BA2" s="12" t="s">
        <v>577</v>
      </c>
      <c r="BB2" s="12" t="s">
        <v>577</v>
      </c>
      <c r="BC2" s="7" t="s">
        <v>578</v>
      </c>
      <c r="BD2" s="7" t="s">
        <v>489</v>
      </c>
      <c r="BE2" s="7" t="s">
        <v>490</v>
      </c>
      <c r="BF2" s="12">
        <v>65145</v>
      </c>
      <c r="BG2" s="7" t="s">
        <v>161</v>
      </c>
      <c r="BH2" s="12" t="s">
        <v>162</v>
      </c>
      <c r="BI2" s="12" t="s">
        <v>586</v>
      </c>
      <c r="BJ2" s="7" t="s">
        <v>183</v>
      </c>
      <c r="BK2" s="7" t="s">
        <v>587</v>
      </c>
      <c r="BL2" s="7" t="str">
        <f>UPPER(BK2)</f>
        <v>ASN</v>
      </c>
      <c r="BM2" s="7" t="s">
        <v>870</v>
      </c>
      <c r="BN2" s="12">
        <v>1500056</v>
      </c>
      <c r="BO2" s="20" t="s">
        <v>257</v>
      </c>
      <c r="BP2" s="7" t="s">
        <v>590</v>
      </c>
      <c r="BQ2" s="7" t="s">
        <v>591</v>
      </c>
      <c r="BR2" s="7" t="s">
        <v>592</v>
      </c>
      <c r="BS2" s="7" t="s">
        <v>593</v>
      </c>
      <c r="BT2" s="14" t="s">
        <v>938</v>
      </c>
      <c r="BU2" s="7" t="s">
        <v>594</v>
      </c>
      <c r="BV2" s="7" t="s">
        <v>576</v>
      </c>
      <c r="BW2" s="12" t="s">
        <v>577</v>
      </c>
      <c r="BX2" s="12" t="s">
        <v>577</v>
      </c>
      <c r="BY2" s="7" t="s">
        <v>578</v>
      </c>
      <c r="BZ2" s="7" t="s">
        <v>489</v>
      </c>
      <c r="CA2" s="7" t="s">
        <v>490</v>
      </c>
      <c r="CB2" s="12">
        <v>65145</v>
      </c>
      <c r="CC2" s="7" t="s">
        <v>161</v>
      </c>
      <c r="CD2" s="7" t="s">
        <v>162</v>
      </c>
      <c r="CE2" s="12" t="s">
        <v>579</v>
      </c>
      <c r="CF2" s="7" t="s">
        <v>183</v>
      </c>
      <c r="CG2" s="7" t="s">
        <v>587</v>
      </c>
      <c r="CH2" s="7" t="s">
        <v>893</v>
      </c>
      <c r="CI2" s="7" t="s">
        <v>897</v>
      </c>
      <c r="CJ2" s="12" t="s">
        <v>597</v>
      </c>
      <c r="CK2" s="7" t="s">
        <v>257</v>
      </c>
      <c r="CL2" s="7" t="s">
        <v>571</v>
      </c>
      <c r="CM2" s="7" t="s">
        <v>219</v>
      </c>
      <c r="CN2" s="7" t="s">
        <v>841</v>
      </c>
      <c r="CP2" s="12"/>
    </row>
    <row r="3" spans="1:113" s="7" customFormat="1" ht="24.75" customHeight="1" x14ac:dyDescent="0.2">
      <c r="A3" s="12">
        <v>2</v>
      </c>
      <c r="B3" s="14" t="s">
        <v>832</v>
      </c>
      <c r="C3" s="7" t="s">
        <v>186</v>
      </c>
      <c r="D3" s="7" t="s">
        <v>259</v>
      </c>
      <c r="E3" s="7" t="s">
        <v>803</v>
      </c>
      <c r="F3" s="13" t="s">
        <v>924</v>
      </c>
      <c r="G3" s="13" t="s">
        <v>809</v>
      </c>
      <c r="H3" s="14"/>
      <c r="I3" s="13" t="s">
        <v>940</v>
      </c>
      <c r="J3" s="13" t="s">
        <v>1004</v>
      </c>
      <c r="K3" s="7" t="s">
        <v>750</v>
      </c>
      <c r="L3" s="12">
        <v>7</v>
      </c>
      <c r="M3" s="12" t="s">
        <v>801</v>
      </c>
      <c r="N3" s="12" t="s">
        <v>756</v>
      </c>
      <c r="O3" s="12" t="s">
        <v>657</v>
      </c>
      <c r="P3" s="12" t="s">
        <v>149</v>
      </c>
      <c r="Q3" s="12" t="s">
        <v>226</v>
      </c>
      <c r="R3" s="16" t="s">
        <v>816</v>
      </c>
      <c r="S3" s="16" t="str">
        <f ca="1">DATEDIF(R3, TODAY(), "Y") &amp; " Tahun " &amp; DATEDIF(R3, TODAY(), "YM") &amp; " Bulan " &amp; DATEDIF(R3, TODAY(), "MD") &amp; " Hari"</f>
        <v>13 Tahun 1 Bulan 6 Hari</v>
      </c>
      <c r="T3" s="7" t="s">
        <v>151</v>
      </c>
      <c r="V3" s="7" t="s">
        <v>775</v>
      </c>
      <c r="W3" s="12">
        <v>19</v>
      </c>
      <c r="X3" s="12" t="s">
        <v>533</v>
      </c>
      <c r="Y3" s="7" t="s">
        <v>783</v>
      </c>
      <c r="Z3" s="7" t="s">
        <v>786</v>
      </c>
      <c r="AA3" s="7" t="s">
        <v>490</v>
      </c>
      <c r="AB3" s="12">
        <v>65152</v>
      </c>
      <c r="AC3" s="7">
        <v>44</v>
      </c>
      <c r="AD3" s="7" t="s">
        <v>662</v>
      </c>
      <c r="AE3" s="7" t="s">
        <v>791</v>
      </c>
      <c r="AF3" s="7" t="s">
        <v>795</v>
      </c>
      <c r="AG3" s="7">
        <v>2</v>
      </c>
      <c r="AH3" s="7">
        <v>1</v>
      </c>
      <c r="AI3" s="7">
        <v>0</v>
      </c>
      <c r="AJ3" s="7">
        <v>0</v>
      </c>
      <c r="AK3" s="7" t="s">
        <v>839</v>
      </c>
      <c r="AL3" s="7" t="s">
        <v>161</v>
      </c>
      <c r="AM3" s="7" t="s">
        <v>162</v>
      </c>
      <c r="AN3" s="7" t="s">
        <v>294</v>
      </c>
      <c r="AO3" s="12">
        <v>41</v>
      </c>
      <c r="AP3" s="12">
        <v>158</v>
      </c>
      <c r="AQ3" s="12" t="s">
        <v>238</v>
      </c>
      <c r="AR3" s="7" t="s">
        <v>165</v>
      </c>
      <c r="AS3" s="7" t="s">
        <v>239</v>
      </c>
      <c r="AT3" s="7" t="s">
        <v>167</v>
      </c>
      <c r="AU3" s="7" t="s">
        <v>791</v>
      </c>
      <c r="AV3" s="7" t="s">
        <v>849</v>
      </c>
      <c r="AW3" s="14" t="s">
        <v>941</v>
      </c>
      <c r="AX3" s="7" t="s">
        <v>669</v>
      </c>
      <c r="AY3" s="7" t="s">
        <v>775</v>
      </c>
      <c r="BA3" s="12">
        <v>19</v>
      </c>
      <c r="BB3" s="12" t="s">
        <v>533</v>
      </c>
      <c r="BC3" s="7" t="s">
        <v>783</v>
      </c>
      <c r="BD3" s="7" t="s">
        <v>786</v>
      </c>
      <c r="BE3" s="11" t="s">
        <v>787</v>
      </c>
      <c r="BF3" s="12">
        <v>65125</v>
      </c>
      <c r="BG3" s="7" t="s">
        <v>161</v>
      </c>
      <c r="BH3" s="12" t="s">
        <v>162</v>
      </c>
      <c r="BI3" s="12" t="s">
        <v>671</v>
      </c>
      <c r="BJ3" s="7" t="s">
        <v>672</v>
      </c>
      <c r="BK3" s="7" t="s">
        <v>864</v>
      </c>
      <c r="BL3" s="7" t="str">
        <f t="shared" ref="BL3:BL15" si="0">UPPER(BK3)</f>
        <v xml:space="preserve">WIRASWASTA </v>
      </c>
      <c r="BM3" s="7" t="s">
        <v>871</v>
      </c>
      <c r="BN3" s="12" t="s">
        <v>676</v>
      </c>
      <c r="BO3" s="20">
        <v>10</v>
      </c>
      <c r="BP3" s="7" t="s">
        <v>677</v>
      </c>
      <c r="BQ3" s="7" t="s">
        <v>678</v>
      </c>
      <c r="BR3" s="11" t="s">
        <v>879</v>
      </c>
      <c r="BS3" s="7" t="s">
        <v>711</v>
      </c>
      <c r="BT3" s="14" t="s">
        <v>942</v>
      </c>
      <c r="BU3" s="7" t="s">
        <v>679</v>
      </c>
      <c r="BV3" s="7" t="s">
        <v>775</v>
      </c>
      <c r="BW3" s="12">
        <v>19</v>
      </c>
      <c r="BX3" s="12" t="s">
        <v>533</v>
      </c>
      <c r="BY3" s="7" t="s">
        <v>783</v>
      </c>
      <c r="BZ3" s="7" t="s">
        <v>786</v>
      </c>
      <c r="CA3" s="11" t="s">
        <v>787</v>
      </c>
      <c r="CB3" s="12">
        <v>651252</v>
      </c>
      <c r="CC3" s="7" t="s">
        <v>161</v>
      </c>
      <c r="CD3" s="7" t="s">
        <v>162</v>
      </c>
      <c r="CE3" s="12" t="s">
        <v>680</v>
      </c>
      <c r="CF3" s="7" t="s">
        <v>672</v>
      </c>
      <c r="CG3" s="7" t="s">
        <v>890</v>
      </c>
      <c r="CH3" s="7" t="s">
        <v>890</v>
      </c>
      <c r="CI3" s="7" t="s">
        <v>775</v>
      </c>
      <c r="CJ3" s="18" t="s">
        <v>901</v>
      </c>
      <c r="CK3" s="7" t="s">
        <v>326</v>
      </c>
      <c r="CL3" s="7" t="s">
        <v>654</v>
      </c>
      <c r="CM3" s="7" t="s">
        <v>678</v>
      </c>
      <c r="CN3" s="7" t="s">
        <v>791</v>
      </c>
      <c r="CO3" s="11" t="s">
        <v>903</v>
      </c>
      <c r="CP3" s="12">
        <v>29708</v>
      </c>
      <c r="CQ3" s="7" t="s">
        <v>682</v>
      </c>
      <c r="CR3" s="7" t="s">
        <v>775</v>
      </c>
      <c r="CS3" s="7">
        <v>19</v>
      </c>
      <c r="CT3" s="7" t="s">
        <v>533</v>
      </c>
      <c r="CU3" s="11" t="s">
        <v>904</v>
      </c>
      <c r="CV3" s="11" t="s">
        <v>905</v>
      </c>
      <c r="CW3" s="11" t="s">
        <v>787</v>
      </c>
      <c r="CX3" s="7" t="s">
        <v>161</v>
      </c>
      <c r="CY3" s="7" t="s">
        <v>162</v>
      </c>
      <c r="CZ3" s="7" t="s">
        <v>683</v>
      </c>
      <c r="DA3" s="7" t="s">
        <v>672</v>
      </c>
      <c r="DB3" s="7" t="s">
        <v>673</v>
      </c>
      <c r="DC3" s="11" t="s">
        <v>906</v>
      </c>
      <c r="DD3" s="11" t="s">
        <v>906</v>
      </c>
      <c r="DE3" s="7" t="s">
        <v>671</v>
      </c>
      <c r="DF3" s="7">
        <v>10</v>
      </c>
      <c r="DG3" s="7" t="s">
        <v>684</v>
      </c>
      <c r="DH3" s="7" t="s">
        <v>678</v>
      </c>
    </row>
    <row r="4" spans="1:113" s="7" customFormat="1" ht="24.75" customHeight="1" x14ac:dyDescent="0.2">
      <c r="A4" s="12">
        <v>3</v>
      </c>
      <c r="B4" s="14" t="s">
        <v>831</v>
      </c>
      <c r="C4" s="7" t="s">
        <v>186</v>
      </c>
      <c r="D4" s="7" t="s">
        <v>834</v>
      </c>
      <c r="E4" s="7" t="s">
        <v>943</v>
      </c>
      <c r="F4" s="13" t="s">
        <v>925</v>
      </c>
      <c r="G4" s="13" t="s">
        <v>812</v>
      </c>
      <c r="H4" s="14"/>
      <c r="I4" s="13" t="s">
        <v>944</v>
      </c>
      <c r="J4" s="13" t="s">
        <v>1005</v>
      </c>
      <c r="K4" s="7" t="s">
        <v>749</v>
      </c>
      <c r="L4" s="12">
        <v>7</v>
      </c>
      <c r="M4" s="12" t="s">
        <v>801</v>
      </c>
      <c r="N4" s="12" t="s">
        <v>755</v>
      </c>
      <c r="O4" s="12" t="s">
        <v>614</v>
      </c>
      <c r="P4" s="12" t="s">
        <v>149</v>
      </c>
      <c r="Q4" s="12" t="s">
        <v>226</v>
      </c>
      <c r="R4" s="16" t="s">
        <v>766</v>
      </c>
      <c r="S4" s="16" t="e">
        <f t="shared" ref="S4:S12" ca="1" si="1">DATEDIF(R4, TODAY(), "Y") &amp; " Tahun " &amp; DATEDIF(R4, TODAY(), "YM") &amp; " Bulan " &amp; DATEDIF(R4, TODAY(), "MD") &amp; " Hari"</f>
        <v>#VALUE!</v>
      </c>
      <c r="T4" s="7" t="s">
        <v>151</v>
      </c>
      <c r="V4" s="7" t="s">
        <v>616</v>
      </c>
      <c r="W4" s="12" t="s">
        <v>577</v>
      </c>
      <c r="X4" s="12" t="s">
        <v>487</v>
      </c>
      <c r="Y4" s="7" t="s">
        <v>782</v>
      </c>
      <c r="Z4" s="7" t="s">
        <v>489</v>
      </c>
      <c r="AA4" s="7" t="s">
        <v>490</v>
      </c>
      <c r="AB4" s="12">
        <v>65141</v>
      </c>
      <c r="AC4" s="7" t="s">
        <v>618</v>
      </c>
      <c r="AD4" s="7" t="s">
        <v>618</v>
      </c>
      <c r="AE4" s="7" t="s">
        <v>790</v>
      </c>
      <c r="AF4" s="7" t="s">
        <v>794</v>
      </c>
      <c r="AG4" s="7">
        <v>3</v>
      </c>
      <c r="AH4" s="7">
        <v>3</v>
      </c>
      <c r="AK4" s="7" t="s">
        <v>840</v>
      </c>
      <c r="AL4" s="7" t="s">
        <v>161</v>
      </c>
      <c r="AM4" s="7" t="s">
        <v>162</v>
      </c>
      <c r="AN4" s="7" t="s">
        <v>236</v>
      </c>
      <c r="AO4" s="12">
        <v>42</v>
      </c>
      <c r="AP4" s="12">
        <v>150</v>
      </c>
      <c r="AQ4" s="12" t="s">
        <v>164</v>
      </c>
      <c r="AR4" s="7" t="s">
        <v>295</v>
      </c>
      <c r="AS4" s="7" t="s">
        <v>239</v>
      </c>
      <c r="AT4" s="7" t="s">
        <v>167</v>
      </c>
      <c r="AU4" s="7" t="s">
        <v>844</v>
      </c>
      <c r="AV4" s="7" t="s">
        <v>226</v>
      </c>
      <c r="AW4" s="14" t="s">
        <v>945</v>
      </c>
      <c r="AX4" s="7" t="s">
        <v>623</v>
      </c>
      <c r="AY4" s="7" t="s">
        <v>624</v>
      </c>
      <c r="BA4" s="12" t="s">
        <v>577</v>
      </c>
      <c r="BB4" s="12" t="s">
        <v>487</v>
      </c>
      <c r="BC4" s="7" t="s">
        <v>782</v>
      </c>
      <c r="BD4" s="7" t="s">
        <v>489</v>
      </c>
      <c r="BE4" s="7" t="s">
        <v>490</v>
      </c>
      <c r="BF4" s="12">
        <v>65141</v>
      </c>
      <c r="BG4" s="7" t="s">
        <v>161</v>
      </c>
      <c r="BH4" s="12" t="s">
        <v>162</v>
      </c>
      <c r="BI4" s="18" t="s">
        <v>863</v>
      </c>
      <c r="BJ4" s="7" t="s">
        <v>183</v>
      </c>
      <c r="BK4" s="7" t="s">
        <v>244</v>
      </c>
      <c r="BL4" s="7" t="str">
        <f t="shared" si="0"/>
        <v>KARYAWAN SWASTA</v>
      </c>
      <c r="BM4" s="7" t="s">
        <v>872</v>
      </c>
      <c r="BN4" s="12" t="s">
        <v>629</v>
      </c>
      <c r="BO4" s="20" t="s">
        <v>630</v>
      </c>
      <c r="BP4" s="7" t="s">
        <v>611</v>
      </c>
      <c r="BQ4" s="7" t="s">
        <v>631</v>
      </c>
      <c r="BR4" s="11" t="s">
        <v>880</v>
      </c>
      <c r="BS4" s="7" t="s">
        <v>226</v>
      </c>
      <c r="BT4" s="14" t="s">
        <v>946</v>
      </c>
      <c r="BU4" s="17" t="s">
        <v>888</v>
      </c>
      <c r="BV4" s="7" t="s">
        <v>633</v>
      </c>
      <c r="BW4" s="12" t="s">
        <v>577</v>
      </c>
      <c r="BX4" s="12" t="s">
        <v>487</v>
      </c>
      <c r="BY4" s="7" t="s">
        <v>782</v>
      </c>
      <c r="BZ4" s="7" t="s">
        <v>489</v>
      </c>
      <c r="CA4" s="11" t="s">
        <v>490</v>
      </c>
      <c r="CB4" s="12">
        <v>65141</v>
      </c>
      <c r="CC4" s="7" t="s">
        <v>161</v>
      </c>
      <c r="CD4" s="7" t="s">
        <v>162</v>
      </c>
      <c r="CE4" s="12" t="s">
        <v>618</v>
      </c>
      <c r="CF4" s="7" t="s">
        <v>183</v>
      </c>
      <c r="CG4" s="7" t="s">
        <v>891</v>
      </c>
      <c r="CH4" s="7" t="s">
        <v>152</v>
      </c>
      <c r="CI4" s="7" t="s">
        <v>152</v>
      </c>
      <c r="CJ4" s="12" t="s">
        <v>152</v>
      </c>
      <c r="CK4" s="7" t="s">
        <v>152</v>
      </c>
      <c r="CL4" s="7" t="s">
        <v>611</v>
      </c>
      <c r="CM4" s="7" t="s">
        <v>634</v>
      </c>
      <c r="CN4" s="7" t="s">
        <v>841</v>
      </c>
      <c r="CP4" s="12"/>
    </row>
    <row r="5" spans="1:113" s="7" customFormat="1" ht="24.75" customHeight="1" x14ac:dyDescent="0.2">
      <c r="A5" s="12">
        <v>4</v>
      </c>
      <c r="B5" s="14" t="s">
        <v>830</v>
      </c>
      <c r="C5" s="7" t="s">
        <v>186</v>
      </c>
      <c r="D5" s="7" t="s">
        <v>835</v>
      </c>
      <c r="E5" s="7" t="s">
        <v>824</v>
      </c>
      <c r="F5" s="13" t="s">
        <v>926</v>
      </c>
      <c r="G5" s="13" t="s">
        <v>821</v>
      </c>
      <c r="H5" s="36" t="s">
        <v>1030</v>
      </c>
      <c r="I5" s="13" t="s">
        <v>947</v>
      </c>
      <c r="J5" s="13" t="s">
        <v>1014</v>
      </c>
      <c r="K5" s="11" t="s">
        <v>819</v>
      </c>
      <c r="L5" s="12">
        <v>7</v>
      </c>
      <c r="M5" s="12" t="s">
        <v>801</v>
      </c>
      <c r="N5" s="12" t="s">
        <v>820</v>
      </c>
      <c r="O5" s="12" t="s">
        <v>822</v>
      </c>
      <c r="P5" s="12" t="s">
        <v>149</v>
      </c>
      <c r="Q5" s="12" t="s">
        <v>823</v>
      </c>
      <c r="R5" s="16" t="s">
        <v>765</v>
      </c>
      <c r="S5" s="16" t="e">
        <f t="shared" ca="1" si="1"/>
        <v>#VALUE!</v>
      </c>
      <c r="T5" s="7" t="s">
        <v>151</v>
      </c>
      <c r="V5" s="7" t="s">
        <v>825</v>
      </c>
      <c r="W5" s="12" t="s">
        <v>577</v>
      </c>
      <c r="X5" s="12" t="s">
        <v>796</v>
      </c>
      <c r="Y5" s="7" t="s">
        <v>779</v>
      </c>
      <c r="Z5" s="7" t="s">
        <v>489</v>
      </c>
      <c r="AA5" s="7" t="s">
        <v>490</v>
      </c>
      <c r="AB5" s="12" t="s">
        <v>826</v>
      </c>
      <c r="AE5" s="7" t="s">
        <v>827</v>
      </c>
      <c r="AF5" s="7" t="s">
        <v>828</v>
      </c>
      <c r="AG5" s="7">
        <v>1</v>
      </c>
      <c r="AH5" s="7">
        <v>2</v>
      </c>
      <c r="AI5" s="7">
        <v>0</v>
      </c>
      <c r="AK5" s="7" t="s">
        <v>236</v>
      </c>
      <c r="AL5" s="7" t="s">
        <v>161</v>
      </c>
      <c r="AM5" s="7" t="s">
        <v>162</v>
      </c>
      <c r="AN5" s="7" t="s">
        <v>236</v>
      </c>
      <c r="AO5" s="12">
        <v>35</v>
      </c>
      <c r="AP5" s="12">
        <v>157</v>
      </c>
      <c r="AQ5" s="12" t="s">
        <v>164</v>
      </c>
      <c r="AR5" s="7" t="s">
        <v>165</v>
      </c>
      <c r="AS5" s="7" t="s">
        <v>239</v>
      </c>
      <c r="AT5" s="7" t="s">
        <v>167</v>
      </c>
      <c r="AU5" s="7" t="s">
        <v>913</v>
      </c>
      <c r="AV5" s="7" t="s">
        <v>823</v>
      </c>
      <c r="AW5" s="14" t="s">
        <v>948</v>
      </c>
      <c r="AX5" s="34" t="s">
        <v>1038</v>
      </c>
      <c r="AY5" s="7" t="s">
        <v>914</v>
      </c>
      <c r="BA5" s="12">
        <v>2</v>
      </c>
      <c r="BB5" s="12">
        <v>6</v>
      </c>
      <c r="BC5" s="7" t="s">
        <v>779</v>
      </c>
      <c r="BD5" s="7" t="s">
        <v>489</v>
      </c>
      <c r="BE5" s="11" t="s">
        <v>490</v>
      </c>
      <c r="BF5" s="12">
        <v>65141</v>
      </c>
      <c r="BG5" s="7" t="s">
        <v>161</v>
      </c>
      <c r="BH5" s="12" t="s">
        <v>162</v>
      </c>
      <c r="BI5" s="12" t="s">
        <v>915</v>
      </c>
      <c r="BJ5" s="7" t="s">
        <v>174</v>
      </c>
      <c r="BK5" s="7" t="s">
        <v>865</v>
      </c>
      <c r="BL5" s="7" t="s">
        <v>916</v>
      </c>
      <c r="BM5" s="7" t="s">
        <v>917</v>
      </c>
      <c r="BN5" s="12" t="s">
        <v>910</v>
      </c>
      <c r="BO5" s="20">
        <v>6700000</v>
      </c>
      <c r="BP5" s="7" t="s">
        <v>911</v>
      </c>
      <c r="BR5" s="11" t="s">
        <v>918</v>
      </c>
      <c r="BS5" s="7" t="s">
        <v>919</v>
      </c>
      <c r="BT5" s="14" t="s">
        <v>949</v>
      </c>
      <c r="BU5" s="7" t="s">
        <v>920</v>
      </c>
      <c r="BV5" s="7" t="s">
        <v>914</v>
      </c>
      <c r="BW5" s="12">
        <v>2</v>
      </c>
      <c r="BX5" s="12">
        <v>6</v>
      </c>
      <c r="BY5" s="7" t="s">
        <v>779</v>
      </c>
      <c r="BZ5" s="7" t="s">
        <v>489</v>
      </c>
      <c r="CA5" s="11" t="s">
        <v>156</v>
      </c>
      <c r="CB5" s="12">
        <v>65141</v>
      </c>
      <c r="CC5" s="7" t="s">
        <v>161</v>
      </c>
      <c r="CD5" s="7" t="s">
        <v>162</v>
      </c>
      <c r="CE5" s="12" t="s">
        <v>921</v>
      </c>
      <c r="CF5" s="7" t="s">
        <v>183</v>
      </c>
      <c r="CG5" s="7" t="s">
        <v>500</v>
      </c>
      <c r="CH5" s="7" t="s">
        <v>922</v>
      </c>
      <c r="CI5" s="7" t="s">
        <v>914</v>
      </c>
      <c r="CJ5" s="18"/>
      <c r="CK5" s="7">
        <v>1500000</v>
      </c>
      <c r="CL5" s="7" t="s">
        <v>912</v>
      </c>
      <c r="CO5" s="11"/>
      <c r="CP5" s="12"/>
      <c r="CU5" s="11"/>
      <c r="CV5" s="11"/>
      <c r="CW5" s="11"/>
      <c r="DC5" s="11"/>
      <c r="DD5" s="11"/>
      <c r="DG5" s="7" t="s">
        <v>186</v>
      </c>
    </row>
    <row r="6" spans="1:113" s="7" customFormat="1" ht="24.75" customHeight="1" x14ac:dyDescent="0.2">
      <c r="A6" s="12">
        <v>5</v>
      </c>
      <c r="B6" s="14" t="s">
        <v>832</v>
      </c>
      <c r="C6" s="7" t="s">
        <v>186</v>
      </c>
      <c r="D6" s="7" t="s">
        <v>259</v>
      </c>
      <c r="E6" s="7" t="s">
        <v>803</v>
      </c>
      <c r="F6" s="13" t="s">
        <v>927</v>
      </c>
      <c r="G6" s="13" t="s">
        <v>807</v>
      </c>
      <c r="H6" s="36" t="s">
        <v>1031</v>
      </c>
      <c r="I6" s="12" t="s">
        <v>950</v>
      </c>
      <c r="J6" s="12" t="s">
        <v>225</v>
      </c>
      <c r="K6" s="7" t="s">
        <v>222</v>
      </c>
      <c r="L6" s="12">
        <v>7</v>
      </c>
      <c r="M6" s="12" t="s">
        <v>801</v>
      </c>
      <c r="N6" s="12" t="s">
        <v>223</v>
      </c>
      <c r="O6" s="12" t="s">
        <v>224</v>
      </c>
      <c r="P6" s="12" t="s">
        <v>149</v>
      </c>
      <c r="Q6" s="12" t="s">
        <v>226</v>
      </c>
      <c r="R6" s="16" t="s">
        <v>818</v>
      </c>
      <c r="S6" s="16" t="e">
        <f t="shared" ca="1" si="1"/>
        <v>#VALUE!</v>
      </c>
      <c r="T6" s="7" t="s">
        <v>151</v>
      </c>
      <c r="V6" s="7" t="s">
        <v>227</v>
      </c>
      <c r="W6" s="12" t="s">
        <v>228</v>
      </c>
      <c r="X6" s="12" t="s">
        <v>229</v>
      </c>
      <c r="Y6" s="7" t="s">
        <v>230</v>
      </c>
      <c r="Z6" s="7" t="s">
        <v>231</v>
      </c>
      <c r="AA6" s="7" t="s">
        <v>787</v>
      </c>
      <c r="AB6" s="12">
        <v>65153</v>
      </c>
      <c r="AC6" s="7" t="s">
        <v>152</v>
      </c>
      <c r="AD6" s="7" t="s">
        <v>232</v>
      </c>
      <c r="AE6" s="7" t="s">
        <v>233</v>
      </c>
      <c r="AF6" s="7" t="s">
        <v>234</v>
      </c>
      <c r="AG6" s="7">
        <v>1</v>
      </c>
      <c r="AH6" s="7">
        <v>1</v>
      </c>
      <c r="AI6" s="7" t="s">
        <v>152</v>
      </c>
      <c r="AJ6" s="7" t="s">
        <v>152</v>
      </c>
      <c r="AK6" s="7" t="s">
        <v>235</v>
      </c>
      <c r="AL6" s="7" t="s">
        <v>161</v>
      </c>
      <c r="AM6" s="7" t="s">
        <v>162</v>
      </c>
      <c r="AN6" s="7" t="s">
        <v>236</v>
      </c>
      <c r="AO6" s="12" t="s">
        <v>237</v>
      </c>
      <c r="AP6" s="12">
        <v>145</v>
      </c>
      <c r="AQ6" s="12" t="s">
        <v>238</v>
      </c>
      <c r="AR6" s="7" t="s">
        <v>165</v>
      </c>
      <c r="AS6" s="7" t="s">
        <v>239</v>
      </c>
      <c r="AT6" s="7" t="s">
        <v>167</v>
      </c>
      <c r="AU6" s="7" t="s">
        <v>240</v>
      </c>
      <c r="AV6" s="7" t="s">
        <v>241</v>
      </c>
      <c r="AW6" s="14" t="s">
        <v>951</v>
      </c>
      <c r="AX6" s="7" t="s">
        <v>242</v>
      </c>
      <c r="AY6" s="7" t="s">
        <v>227</v>
      </c>
      <c r="BA6" s="12" t="s">
        <v>228</v>
      </c>
      <c r="BB6" s="12" t="s">
        <v>229</v>
      </c>
      <c r="BC6" s="7" t="s">
        <v>230</v>
      </c>
      <c r="BD6" s="7" t="s">
        <v>231</v>
      </c>
      <c r="BE6" s="11" t="s">
        <v>787</v>
      </c>
      <c r="BF6" s="12">
        <v>65153</v>
      </c>
      <c r="BG6" s="7" t="s">
        <v>161</v>
      </c>
      <c r="BH6" s="12" t="s">
        <v>162</v>
      </c>
      <c r="BI6" s="12" t="s">
        <v>243</v>
      </c>
      <c r="BJ6" s="7" t="s">
        <v>183</v>
      </c>
      <c r="BK6" s="7" t="s">
        <v>244</v>
      </c>
      <c r="BL6" s="7" t="str">
        <f t="shared" si="0"/>
        <v>KARYAWAN SWASTA</v>
      </c>
      <c r="BM6" s="7" t="s">
        <v>246</v>
      </c>
      <c r="BN6" s="12" t="s">
        <v>247</v>
      </c>
      <c r="BO6" s="20" t="s">
        <v>248</v>
      </c>
      <c r="BP6" s="7" t="s">
        <v>249</v>
      </c>
      <c r="BQ6" s="7" t="s">
        <v>250</v>
      </c>
      <c r="BR6" s="11" t="s">
        <v>881</v>
      </c>
      <c r="BS6" s="7" t="s">
        <v>252</v>
      </c>
      <c r="BT6" s="14" t="s">
        <v>952</v>
      </c>
      <c r="BU6" s="7" t="s">
        <v>253</v>
      </c>
      <c r="BV6" s="7" t="s">
        <v>227</v>
      </c>
      <c r="BW6" s="12" t="s">
        <v>228</v>
      </c>
      <c r="BX6" s="12" t="s">
        <v>229</v>
      </c>
      <c r="BY6" s="7" t="s">
        <v>230</v>
      </c>
      <c r="BZ6" s="7" t="s">
        <v>231</v>
      </c>
      <c r="CA6" s="11" t="s">
        <v>787</v>
      </c>
      <c r="CB6" s="12">
        <v>65153</v>
      </c>
      <c r="CC6" s="7" t="s">
        <v>161</v>
      </c>
      <c r="CD6" s="7" t="s">
        <v>162</v>
      </c>
      <c r="CE6" s="12" t="s">
        <v>232</v>
      </c>
      <c r="CF6" s="7" t="s">
        <v>183</v>
      </c>
      <c r="CG6" s="7" t="s">
        <v>244</v>
      </c>
      <c r="CH6" s="7" t="s">
        <v>254</v>
      </c>
      <c r="CI6" s="7" t="s">
        <v>255</v>
      </c>
      <c r="CJ6" s="12" t="s">
        <v>256</v>
      </c>
      <c r="CK6" s="7" t="s">
        <v>257</v>
      </c>
      <c r="CL6" s="7" t="s">
        <v>221</v>
      </c>
      <c r="CM6" s="7" t="s">
        <v>258</v>
      </c>
      <c r="CN6" s="7" t="s">
        <v>841</v>
      </c>
      <c r="CP6" s="12"/>
    </row>
    <row r="7" spans="1:113" s="7" customFormat="1" ht="24.75" customHeight="1" x14ac:dyDescent="0.2">
      <c r="A7" s="12">
        <v>6</v>
      </c>
      <c r="B7" s="14" t="s">
        <v>832</v>
      </c>
      <c r="C7" s="7" t="s">
        <v>186</v>
      </c>
      <c r="D7" s="7" t="s">
        <v>259</v>
      </c>
      <c r="E7" s="7" t="s">
        <v>803</v>
      </c>
      <c r="F7" s="13" t="s">
        <v>928</v>
      </c>
      <c r="G7" s="13" t="s">
        <v>802</v>
      </c>
      <c r="H7" s="14"/>
      <c r="I7" s="13" t="s">
        <v>953</v>
      </c>
      <c r="J7" s="13" t="s">
        <v>1008</v>
      </c>
      <c r="K7" s="7" t="s">
        <v>282</v>
      </c>
      <c r="L7" s="12">
        <v>7</v>
      </c>
      <c r="M7" s="12" t="s">
        <v>801</v>
      </c>
      <c r="N7" s="12" t="s">
        <v>283</v>
      </c>
      <c r="O7" s="12" t="s">
        <v>284</v>
      </c>
      <c r="P7" s="12" t="s">
        <v>286</v>
      </c>
      <c r="Q7" s="12" t="s">
        <v>226</v>
      </c>
      <c r="R7" s="16" t="s">
        <v>760</v>
      </c>
      <c r="S7" s="16" t="e">
        <f t="shared" ca="1" si="1"/>
        <v>#VALUE!</v>
      </c>
      <c r="T7" s="7" t="s">
        <v>287</v>
      </c>
      <c r="U7" s="7" t="s">
        <v>768</v>
      </c>
      <c r="V7" s="7" t="s">
        <v>804</v>
      </c>
      <c r="W7" s="12">
        <v>3</v>
      </c>
      <c r="X7" s="12">
        <v>12</v>
      </c>
      <c r="Y7" s="7" t="s">
        <v>777</v>
      </c>
      <c r="Z7" s="7" t="s">
        <v>489</v>
      </c>
      <c r="AA7" s="7" t="s">
        <v>490</v>
      </c>
      <c r="AB7" s="12">
        <v>65144</v>
      </c>
      <c r="AC7" s="7" t="s">
        <v>291</v>
      </c>
      <c r="AD7" s="7" t="s">
        <v>291</v>
      </c>
      <c r="AE7" s="7" t="s">
        <v>292</v>
      </c>
      <c r="AF7" s="7" t="s">
        <v>293</v>
      </c>
      <c r="AG7" s="7">
        <v>4</v>
      </c>
      <c r="AH7" s="7">
        <v>3</v>
      </c>
      <c r="AK7" s="7" t="s">
        <v>294</v>
      </c>
      <c r="AL7" s="7" t="s">
        <v>161</v>
      </c>
      <c r="AM7" s="7" t="s">
        <v>162</v>
      </c>
      <c r="AN7" s="7" t="s">
        <v>236</v>
      </c>
      <c r="AO7" s="12">
        <v>50</v>
      </c>
      <c r="AP7" s="12">
        <v>163</v>
      </c>
      <c r="AQ7" s="12" t="s">
        <v>164</v>
      </c>
      <c r="AR7" s="7" t="s">
        <v>295</v>
      </c>
      <c r="AS7" s="7" t="s">
        <v>166</v>
      </c>
      <c r="AT7" s="7" t="s">
        <v>167</v>
      </c>
      <c r="AU7" s="7" t="s">
        <v>296</v>
      </c>
      <c r="AV7" s="7" t="s">
        <v>226</v>
      </c>
      <c r="AW7" s="14" t="s">
        <v>954</v>
      </c>
      <c r="AX7" s="7" t="s">
        <v>297</v>
      </c>
      <c r="AY7" s="7" t="s">
        <v>854</v>
      </c>
      <c r="BA7" s="12">
        <v>3</v>
      </c>
      <c r="BB7" s="12">
        <v>12</v>
      </c>
      <c r="BC7" s="7" t="s">
        <v>777</v>
      </c>
      <c r="BD7" s="7" t="s">
        <v>489</v>
      </c>
      <c r="BE7" s="7" t="s">
        <v>490</v>
      </c>
      <c r="BF7" s="12">
        <v>65144</v>
      </c>
      <c r="BG7" s="7" t="s">
        <v>161</v>
      </c>
      <c r="BH7" s="12" t="s">
        <v>162</v>
      </c>
      <c r="BI7" s="12" t="s">
        <v>299</v>
      </c>
      <c r="BJ7" s="7" t="s">
        <v>300</v>
      </c>
      <c r="BK7" s="7" t="s">
        <v>865</v>
      </c>
      <c r="BL7" s="7" t="str">
        <f t="shared" si="0"/>
        <v>DOSEN</v>
      </c>
      <c r="BM7" s="7" t="s">
        <v>873</v>
      </c>
      <c r="BN7" s="12" t="s">
        <v>304</v>
      </c>
      <c r="BO7" s="20" t="s">
        <v>305</v>
      </c>
      <c r="BP7" s="7" t="s">
        <v>306</v>
      </c>
      <c r="BQ7" s="7" t="s">
        <v>307</v>
      </c>
      <c r="BR7" s="7" t="s">
        <v>293</v>
      </c>
      <c r="BS7" s="7" t="s">
        <v>226</v>
      </c>
      <c r="BT7" s="14" t="s">
        <v>955</v>
      </c>
      <c r="BU7" s="7" t="s">
        <v>308</v>
      </c>
      <c r="BV7" s="7" t="s">
        <v>854</v>
      </c>
      <c r="BW7" s="12">
        <v>3</v>
      </c>
      <c r="BX7" s="12">
        <v>12</v>
      </c>
      <c r="BY7" s="7" t="s">
        <v>777</v>
      </c>
      <c r="BZ7" s="7" t="s">
        <v>489</v>
      </c>
      <c r="CA7" s="11" t="s">
        <v>490</v>
      </c>
      <c r="CB7" s="12">
        <v>65144</v>
      </c>
      <c r="CC7" s="7" t="s">
        <v>161</v>
      </c>
      <c r="CD7" s="7" t="s">
        <v>162</v>
      </c>
      <c r="CE7" s="12" t="s">
        <v>291</v>
      </c>
      <c r="CF7" s="7" t="s">
        <v>309</v>
      </c>
      <c r="CG7" s="7" t="s">
        <v>867</v>
      </c>
      <c r="CH7" s="7" t="s">
        <v>894</v>
      </c>
      <c r="CI7" s="7" t="s">
        <v>873</v>
      </c>
      <c r="CJ7" s="12" t="s">
        <v>304</v>
      </c>
      <c r="CK7" s="7" t="s">
        <v>305</v>
      </c>
      <c r="CL7" s="7" t="s">
        <v>311</v>
      </c>
      <c r="CM7" s="7" t="s">
        <v>312</v>
      </c>
      <c r="CN7" s="7" t="s">
        <v>902</v>
      </c>
      <c r="CO7" s="11" t="s">
        <v>226</v>
      </c>
      <c r="CP7" s="12">
        <v>24521</v>
      </c>
      <c r="CQ7" s="7" t="s">
        <v>297</v>
      </c>
      <c r="CR7" s="7" t="s">
        <v>854</v>
      </c>
      <c r="CS7" s="7">
        <v>3</v>
      </c>
      <c r="CT7" s="7">
        <v>12</v>
      </c>
      <c r="CU7" s="11" t="s">
        <v>777</v>
      </c>
      <c r="CV7" s="11" t="s">
        <v>489</v>
      </c>
      <c r="CW7" s="11" t="s">
        <v>490</v>
      </c>
      <c r="CX7" s="7" t="s">
        <v>161</v>
      </c>
      <c r="CY7" s="7" t="s">
        <v>162</v>
      </c>
      <c r="CZ7" s="7" t="s">
        <v>299</v>
      </c>
      <c r="DA7" s="7" t="s">
        <v>300</v>
      </c>
      <c r="DB7" s="11" t="s">
        <v>865</v>
      </c>
      <c r="DC7" s="11" t="s">
        <v>907</v>
      </c>
      <c r="DD7" s="7" t="s">
        <v>873</v>
      </c>
      <c r="DE7" s="7" t="s">
        <v>304</v>
      </c>
      <c r="DF7" s="7" t="s">
        <v>305</v>
      </c>
      <c r="DG7" s="7" t="s">
        <v>306</v>
      </c>
      <c r="DH7" s="7" t="s">
        <v>307</v>
      </c>
    </row>
    <row r="8" spans="1:113" s="7" customFormat="1" ht="24.75" customHeight="1" x14ac:dyDescent="0.2">
      <c r="A8" s="12">
        <v>7</v>
      </c>
      <c r="B8" s="23" t="s">
        <v>997</v>
      </c>
      <c r="C8" s="24" t="s">
        <v>996</v>
      </c>
      <c r="D8" s="25" t="s">
        <v>987</v>
      </c>
      <c r="E8" s="25" t="s">
        <v>988</v>
      </c>
      <c r="F8" s="26" t="s">
        <v>989</v>
      </c>
      <c r="G8" s="26" t="s">
        <v>990</v>
      </c>
      <c r="H8" s="37" t="s">
        <v>1033</v>
      </c>
      <c r="I8" s="26" t="s">
        <v>991</v>
      </c>
      <c r="J8" s="26" t="s">
        <v>992</v>
      </c>
      <c r="K8" s="24" t="s">
        <v>986</v>
      </c>
      <c r="L8" s="27">
        <v>7</v>
      </c>
      <c r="M8" s="28" t="s">
        <v>801</v>
      </c>
      <c r="N8" s="28" t="s">
        <v>993</v>
      </c>
      <c r="O8" s="26" t="s">
        <v>994</v>
      </c>
      <c r="P8" s="28" t="s">
        <v>286</v>
      </c>
      <c r="Q8" s="28" t="s">
        <v>593</v>
      </c>
      <c r="R8" s="29" t="s">
        <v>995</v>
      </c>
      <c r="S8" s="30" t="e">
        <f t="shared" ca="1" si="1"/>
        <v>#VALUE!</v>
      </c>
      <c r="T8" s="24" t="s">
        <v>151</v>
      </c>
      <c r="U8" s="25"/>
      <c r="V8" s="25" t="s">
        <v>1022</v>
      </c>
      <c r="W8" s="26" t="s">
        <v>346</v>
      </c>
      <c r="X8" s="26" t="s">
        <v>1018</v>
      </c>
      <c r="Y8" s="24" t="s">
        <v>1019</v>
      </c>
      <c r="Z8" s="24" t="s">
        <v>786</v>
      </c>
      <c r="AA8" s="24" t="s">
        <v>787</v>
      </c>
      <c r="AB8" s="27">
        <v>65152</v>
      </c>
      <c r="AC8" s="35" t="s">
        <v>1020</v>
      </c>
      <c r="AD8" s="25" t="s">
        <v>1020</v>
      </c>
      <c r="AE8" s="24" t="s">
        <v>998</v>
      </c>
      <c r="AF8" s="24" t="s">
        <v>1001</v>
      </c>
      <c r="AG8" s="25">
        <v>1</v>
      </c>
      <c r="AH8" s="25">
        <v>3</v>
      </c>
      <c r="AI8" s="25"/>
      <c r="AJ8" s="25"/>
      <c r="AK8" s="24" t="s">
        <v>1021</v>
      </c>
      <c r="AL8" s="25" t="s">
        <v>161</v>
      </c>
      <c r="AM8" s="25" t="s">
        <v>162</v>
      </c>
      <c r="AN8" s="24" t="s">
        <v>236</v>
      </c>
      <c r="AO8" s="27">
        <v>49</v>
      </c>
      <c r="AP8" s="27">
        <v>156</v>
      </c>
      <c r="AQ8" s="28" t="s">
        <v>494</v>
      </c>
      <c r="AR8" s="24" t="s">
        <v>1015</v>
      </c>
      <c r="AS8" s="24" t="s">
        <v>166</v>
      </c>
      <c r="AT8" s="24" t="s">
        <v>401</v>
      </c>
      <c r="AU8" s="24" t="s">
        <v>998</v>
      </c>
      <c r="AV8" s="25" t="s">
        <v>593</v>
      </c>
      <c r="AW8" s="31" t="s">
        <v>999</v>
      </c>
      <c r="AX8" s="33" t="s">
        <v>1000</v>
      </c>
      <c r="AY8" s="25" t="s">
        <v>1022</v>
      </c>
      <c r="AZ8" s="25"/>
      <c r="BA8" s="26" t="s">
        <v>346</v>
      </c>
      <c r="BB8" s="26" t="s">
        <v>1018</v>
      </c>
      <c r="BC8" s="24" t="s">
        <v>1019</v>
      </c>
      <c r="BD8" s="24" t="s">
        <v>786</v>
      </c>
      <c r="BE8" s="24" t="s">
        <v>787</v>
      </c>
      <c r="BF8" s="27">
        <v>65152</v>
      </c>
      <c r="BG8" s="25" t="s">
        <v>161</v>
      </c>
      <c r="BH8" s="27" t="s">
        <v>162</v>
      </c>
      <c r="BI8" s="26" t="s">
        <v>1023</v>
      </c>
      <c r="BJ8" s="24" t="s">
        <v>183</v>
      </c>
      <c r="BK8" s="24" t="s">
        <v>500</v>
      </c>
      <c r="BL8" s="25" t="str">
        <f t="shared" si="0"/>
        <v>WIRASWASTA</v>
      </c>
      <c r="BM8" s="25" t="s">
        <v>1024</v>
      </c>
      <c r="BN8" s="26" t="s">
        <v>1025</v>
      </c>
      <c r="BO8" s="32">
        <v>30000000</v>
      </c>
      <c r="BP8" s="24" t="s">
        <v>1026</v>
      </c>
      <c r="BQ8" s="25"/>
      <c r="BR8" s="25" t="s">
        <v>1001</v>
      </c>
      <c r="BS8" s="25" t="s">
        <v>593</v>
      </c>
      <c r="BT8" s="31" t="s">
        <v>1002</v>
      </c>
      <c r="BU8" s="33" t="s">
        <v>1003</v>
      </c>
      <c r="BV8" s="25" t="s">
        <v>1022</v>
      </c>
      <c r="BW8" s="27" t="s">
        <v>346</v>
      </c>
      <c r="BX8" s="27" t="s">
        <v>1018</v>
      </c>
      <c r="BY8" s="25" t="s">
        <v>1019</v>
      </c>
      <c r="BZ8" s="25" t="s">
        <v>786</v>
      </c>
      <c r="CA8" s="24" t="s">
        <v>787</v>
      </c>
      <c r="CB8" s="27">
        <v>65152</v>
      </c>
      <c r="CC8" s="25" t="s">
        <v>161</v>
      </c>
      <c r="CD8" s="25" t="s">
        <v>162</v>
      </c>
      <c r="CE8" s="26" t="s">
        <v>1027</v>
      </c>
      <c r="CF8" s="24" t="s">
        <v>183</v>
      </c>
      <c r="CG8" s="24" t="s">
        <v>891</v>
      </c>
      <c r="CH8" s="24" t="s">
        <v>152</v>
      </c>
      <c r="CI8" s="24" t="s">
        <v>152</v>
      </c>
      <c r="CJ8" s="27"/>
      <c r="CK8" s="25"/>
      <c r="CL8" s="25" t="s">
        <v>1016</v>
      </c>
      <c r="CM8" s="25" t="s">
        <v>1017</v>
      </c>
      <c r="CN8" s="25"/>
      <c r="CO8" s="24"/>
      <c r="CP8" s="27"/>
      <c r="CQ8" s="25"/>
      <c r="CR8" s="25"/>
      <c r="CS8" s="25"/>
      <c r="CT8" s="25"/>
      <c r="CU8" s="24"/>
      <c r="CV8" s="24"/>
      <c r="CW8" s="24"/>
      <c r="CX8" s="25"/>
      <c r="CY8" s="25"/>
      <c r="CZ8" s="25"/>
      <c r="DA8" s="25"/>
      <c r="DB8" s="24"/>
      <c r="DC8" s="24"/>
      <c r="DD8" s="25"/>
      <c r="DE8" s="25"/>
      <c r="DF8" s="25"/>
      <c r="DG8" s="25"/>
      <c r="DH8" s="25"/>
    </row>
    <row r="9" spans="1:113" s="7" customFormat="1" ht="24.75" customHeight="1" x14ac:dyDescent="0.2">
      <c r="A9" s="12">
        <v>8</v>
      </c>
      <c r="B9" s="14" t="s">
        <v>832</v>
      </c>
      <c r="C9" s="7" t="s">
        <v>186</v>
      </c>
      <c r="D9" s="7" t="s">
        <v>259</v>
      </c>
      <c r="E9" s="7" t="s">
        <v>803</v>
      </c>
      <c r="F9" s="13" t="s">
        <v>929</v>
      </c>
      <c r="G9" s="13" t="s">
        <v>808</v>
      </c>
      <c r="H9" s="14"/>
      <c r="I9" s="13" t="s">
        <v>956</v>
      </c>
      <c r="J9" s="13" t="s">
        <v>1009</v>
      </c>
      <c r="K9" s="7" t="s">
        <v>746</v>
      </c>
      <c r="L9" s="12">
        <v>7</v>
      </c>
      <c r="M9" s="12" t="s">
        <v>801</v>
      </c>
      <c r="N9" s="12" t="s">
        <v>752</v>
      </c>
      <c r="O9" s="12" t="s">
        <v>390</v>
      </c>
      <c r="P9" s="12" t="s">
        <v>149</v>
      </c>
      <c r="Q9" s="12" t="s">
        <v>226</v>
      </c>
      <c r="R9" s="16" t="s">
        <v>762</v>
      </c>
      <c r="S9" s="16" t="e">
        <f t="shared" ca="1" si="1"/>
        <v>#VALUE!</v>
      </c>
      <c r="T9" s="7" t="s">
        <v>151</v>
      </c>
      <c r="V9" s="7" t="s">
        <v>772</v>
      </c>
      <c r="W9" s="12" t="s">
        <v>393</v>
      </c>
      <c r="X9" s="12" t="s">
        <v>394</v>
      </c>
      <c r="Y9" s="7" t="s">
        <v>779</v>
      </c>
      <c r="Z9" s="7" t="s">
        <v>489</v>
      </c>
      <c r="AA9" s="7" t="s">
        <v>490</v>
      </c>
      <c r="AB9" s="12">
        <v>65141</v>
      </c>
      <c r="AC9" s="7" t="s">
        <v>396</v>
      </c>
      <c r="AD9" s="7" t="s">
        <v>396</v>
      </c>
      <c r="AE9" s="7" t="s">
        <v>957</v>
      </c>
      <c r="AF9" s="7" t="s">
        <v>958</v>
      </c>
      <c r="AG9" s="7">
        <v>1</v>
      </c>
      <c r="AH9" s="7">
        <v>0</v>
      </c>
      <c r="AI9" s="7">
        <v>0</v>
      </c>
      <c r="AJ9" s="7">
        <v>0</v>
      </c>
      <c r="AK9" s="7" t="s">
        <v>842</v>
      </c>
      <c r="AL9" s="7" t="s">
        <v>161</v>
      </c>
      <c r="AM9" s="7" t="s">
        <v>162</v>
      </c>
      <c r="AN9" s="7" t="s">
        <v>829</v>
      </c>
      <c r="AO9" s="12">
        <v>60</v>
      </c>
      <c r="AP9" s="12">
        <v>145</v>
      </c>
      <c r="AQ9" s="12" t="s">
        <v>238</v>
      </c>
      <c r="AR9" s="7" t="s">
        <v>295</v>
      </c>
      <c r="AS9" s="7" t="s">
        <v>239</v>
      </c>
      <c r="AT9" s="7" t="s">
        <v>401</v>
      </c>
      <c r="AU9" s="7" t="s">
        <v>788</v>
      </c>
      <c r="AV9" s="7" t="s">
        <v>850</v>
      </c>
      <c r="AW9" s="14" t="s">
        <v>959</v>
      </c>
      <c r="AX9" s="34" t="s">
        <v>1006</v>
      </c>
      <c r="AY9" s="7" t="s">
        <v>855</v>
      </c>
      <c r="BA9" s="12" t="s">
        <v>393</v>
      </c>
      <c r="BB9" s="12" t="s">
        <v>394</v>
      </c>
      <c r="BC9" s="7" t="s">
        <v>779</v>
      </c>
      <c r="BD9" s="7" t="s">
        <v>489</v>
      </c>
      <c r="BE9" s="11" t="s">
        <v>490</v>
      </c>
      <c r="BF9" s="12">
        <v>65141</v>
      </c>
      <c r="BG9" s="7" t="s">
        <v>161</v>
      </c>
      <c r="BH9" s="12" t="s">
        <v>162</v>
      </c>
      <c r="BI9" s="12" t="s">
        <v>405</v>
      </c>
      <c r="BJ9" s="7" t="s">
        <v>183</v>
      </c>
      <c r="BK9" s="7" t="s">
        <v>866</v>
      </c>
      <c r="BL9" s="7" t="str">
        <f t="shared" si="0"/>
        <v xml:space="preserve">KARYAWAN </v>
      </c>
      <c r="BM9" s="7" t="s">
        <v>874</v>
      </c>
      <c r="BN9" s="12"/>
      <c r="BO9" s="20" t="s">
        <v>409</v>
      </c>
      <c r="BP9" s="7" t="s">
        <v>410</v>
      </c>
      <c r="BQ9" s="7" t="s">
        <v>411</v>
      </c>
      <c r="BR9" s="11" t="s">
        <v>882</v>
      </c>
      <c r="BS9" s="7" t="s">
        <v>885</v>
      </c>
      <c r="BT9" s="14" t="s">
        <v>960</v>
      </c>
      <c r="BU9" s="34" t="s">
        <v>1007</v>
      </c>
      <c r="BV9" s="7" t="s">
        <v>855</v>
      </c>
      <c r="BW9" s="12" t="s">
        <v>393</v>
      </c>
      <c r="BX9" s="12" t="s">
        <v>394</v>
      </c>
      <c r="BY9" s="7" t="s">
        <v>779</v>
      </c>
      <c r="BZ9" s="7" t="s">
        <v>489</v>
      </c>
      <c r="CA9" s="11" t="s">
        <v>490</v>
      </c>
      <c r="CB9" s="12">
        <v>65141</v>
      </c>
      <c r="CC9" s="7" t="s">
        <v>161</v>
      </c>
      <c r="CD9" s="7" t="s">
        <v>162</v>
      </c>
      <c r="CE9" s="12" t="s">
        <v>396</v>
      </c>
      <c r="CF9" s="7" t="s">
        <v>183</v>
      </c>
      <c r="CG9" s="7" t="s">
        <v>414</v>
      </c>
      <c r="CH9" s="7" t="s">
        <v>892</v>
      </c>
      <c r="CI9" s="7" t="s">
        <v>898</v>
      </c>
      <c r="CJ9" s="12"/>
      <c r="CK9" s="7" t="s">
        <v>416</v>
      </c>
      <c r="CL9" s="7" t="s">
        <v>387</v>
      </c>
      <c r="CM9" s="7" t="s">
        <v>417</v>
      </c>
      <c r="CN9" s="7" t="s">
        <v>841</v>
      </c>
      <c r="CP9" s="12"/>
    </row>
    <row r="10" spans="1:113" s="7" customFormat="1" ht="24.75" customHeight="1" x14ac:dyDescent="0.2">
      <c r="A10" s="12">
        <v>9</v>
      </c>
      <c r="B10" s="14" t="s">
        <v>832</v>
      </c>
      <c r="C10" s="7" t="s">
        <v>186</v>
      </c>
      <c r="D10" s="7" t="s">
        <v>836</v>
      </c>
      <c r="E10" s="7" t="s">
        <v>961</v>
      </c>
      <c r="F10" s="13" t="s">
        <v>930</v>
      </c>
      <c r="G10" s="13" t="s">
        <v>811</v>
      </c>
      <c r="H10" s="36" t="s">
        <v>1037</v>
      </c>
      <c r="I10" s="13" t="s">
        <v>962</v>
      </c>
      <c r="J10" s="13" t="s">
        <v>1013</v>
      </c>
      <c r="K10" s="7" t="s">
        <v>747</v>
      </c>
      <c r="L10" s="12">
        <v>7</v>
      </c>
      <c r="M10" s="12" t="s">
        <v>801</v>
      </c>
      <c r="N10" s="12" t="s">
        <v>753</v>
      </c>
      <c r="O10" s="12" t="s">
        <v>436</v>
      </c>
      <c r="P10" s="12" t="s">
        <v>149</v>
      </c>
      <c r="Q10" s="12" t="s">
        <v>226</v>
      </c>
      <c r="R10" s="16" t="s">
        <v>763</v>
      </c>
      <c r="S10" s="16" t="e">
        <f t="shared" ca="1" si="1"/>
        <v>#VALUE!</v>
      </c>
      <c r="T10" s="7" t="s">
        <v>151</v>
      </c>
      <c r="V10" s="7" t="s">
        <v>773</v>
      </c>
      <c r="W10" s="12">
        <v>3</v>
      </c>
      <c r="X10" s="12">
        <v>4</v>
      </c>
      <c r="Y10" s="7" t="s">
        <v>780</v>
      </c>
      <c r="Z10" s="7" t="s">
        <v>781</v>
      </c>
      <c r="AA10" s="7" t="s">
        <v>490</v>
      </c>
      <c r="AB10" s="12">
        <v>65143</v>
      </c>
      <c r="AC10" s="7" t="s">
        <v>441</v>
      </c>
      <c r="AD10" s="7" t="s">
        <v>442</v>
      </c>
      <c r="AE10" s="7" t="s">
        <v>789</v>
      </c>
      <c r="AF10" s="7" t="s">
        <v>793</v>
      </c>
      <c r="AG10" s="7">
        <v>2</v>
      </c>
      <c r="AH10" s="7">
        <v>1</v>
      </c>
      <c r="AK10" s="7" t="s">
        <v>843</v>
      </c>
      <c r="AL10" s="7" t="s">
        <v>161</v>
      </c>
      <c r="AM10" s="7" t="s">
        <v>162</v>
      </c>
      <c r="AN10" s="7" t="s">
        <v>236</v>
      </c>
      <c r="AO10" s="12">
        <v>60</v>
      </c>
      <c r="AP10" s="12">
        <v>160</v>
      </c>
      <c r="AQ10" s="12" t="s">
        <v>164</v>
      </c>
      <c r="AR10" s="7" t="s">
        <v>295</v>
      </c>
      <c r="AS10" s="7" t="s">
        <v>446</v>
      </c>
      <c r="AT10" s="7" t="s">
        <v>167</v>
      </c>
      <c r="AU10" s="7" t="s">
        <v>845</v>
      </c>
      <c r="AV10" s="7" t="s">
        <v>851</v>
      </c>
      <c r="AW10" s="14" t="s">
        <v>963</v>
      </c>
      <c r="AX10" s="34" t="s">
        <v>449</v>
      </c>
      <c r="AY10" s="7" t="s">
        <v>856</v>
      </c>
      <c r="BA10" s="12">
        <v>3</v>
      </c>
      <c r="BB10" s="12">
        <v>4</v>
      </c>
      <c r="BC10" s="7" t="s">
        <v>859</v>
      </c>
      <c r="BD10" s="7" t="s">
        <v>781</v>
      </c>
      <c r="BE10" s="7" t="s">
        <v>862</v>
      </c>
      <c r="BF10" s="12">
        <v>65143</v>
      </c>
      <c r="BG10" s="7" t="s">
        <v>161</v>
      </c>
      <c r="BH10" s="12" t="s">
        <v>162</v>
      </c>
      <c r="BI10" s="12" t="s">
        <v>442</v>
      </c>
      <c r="BJ10" s="7" t="s">
        <v>183</v>
      </c>
      <c r="BK10" s="7" t="s">
        <v>867</v>
      </c>
      <c r="BL10" s="7" t="str">
        <f t="shared" si="0"/>
        <v>GURU</v>
      </c>
      <c r="BM10" s="7" t="s">
        <v>875</v>
      </c>
      <c r="BN10" s="12"/>
      <c r="BO10" s="20">
        <v>600</v>
      </c>
      <c r="BP10" s="7" t="s">
        <v>433</v>
      </c>
      <c r="BR10" s="11" t="s">
        <v>883</v>
      </c>
      <c r="BS10" s="7" t="s">
        <v>886</v>
      </c>
      <c r="BT10" s="14" t="s">
        <v>964</v>
      </c>
      <c r="BU10" s="7" t="s">
        <v>457</v>
      </c>
      <c r="BV10" s="7" t="s">
        <v>856</v>
      </c>
      <c r="BW10" s="12">
        <v>3</v>
      </c>
      <c r="BX10" s="12">
        <v>4</v>
      </c>
      <c r="BY10" s="7" t="s">
        <v>859</v>
      </c>
      <c r="BZ10" s="7" t="s">
        <v>781</v>
      </c>
      <c r="CA10" s="11" t="s">
        <v>490</v>
      </c>
      <c r="CB10" s="12">
        <v>65143</v>
      </c>
      <c r="CC10" s="7" t="s">
        <v>161</v>
      </c>
      <c r="CD10" s="7" t="s">
        <v>162</v>
      </c>
      <c r="CE10" s="12" t="s">
        <v>441</v>
      </c>
      <c r="CF10" s="7" t="s">
        <v>183</v>
      </c>
      <c r="CG10" s="7" t="s">
        <v>867</v>
      </c>
      <c r="CH10" s="7" t="s">
        <v>895</v>
      </c>
      <c r="CI10" s="7" t="s">
        <v>899</v>
      </c>
      <c r="CJ10" s="12"/>
      <c r="CK10" s="7" t="s">
        <v>460</v>
      </c>
      <c r="CL10" s="7" t="s">
        <v>461</v>
      </c>
      <c r="CN10" s="7" t="s">
        <v>841</v>
      </c>
      <c r="CP10" s="12"/>
    </row>
    <row r="11" spans="1:113" s="7" customFormat="1" ht="24.75" customHeight="1" x14ac:dyDescent="0.2">
      <c r="A11" s="12">
        <v>10</v>
      </c>
      <c r="B11" s="14" t="s">
        <v>832</v>
      </c>
      <c r="C11" s="7" t="s">
        <v>186</v>
      </c>
      <c r="D11" s="7" t="s">
        <v>259</v>
      </c>
      <c r="E11" s="7" t="s">
        <v>803</v>
      </c>
      <c r="F11" s="13" t="s">
        <v>931</v>
      </c>
      <c r="G11" s="13" t="s">
        <v>810</v>
      </c>
      <c r="H11" s="36" t="s">
        <v>1036</v>
      </c>
      <c r="I11" s="13" t="s">
        <v>965</v>
      </c>
      <c r="J11" s="12" t="s">
        <v>530</v>
      </c>
      <c r="K11" s="7" t="s">
        <v>748</v>
      </c>
      <c r="L11" s="12">
        <v>7</v>
      </c>
      <c r="M11" s="12" t="s">
        <v>801</v>
      </c>
      <c r="N11" s="12" t="s">
        <v>754</v>
      </c>
      <c r="O11" s="12" t="s">
        <v>529</v>
      </c>
      <c r="P11" s="12" t="s">
        <v>149</v>
      </c>
      <c r="Q11" s="12" t="s">
        <v>757</v>
      </c>
      <c r="R11" s="16" t="s">
        <v>764</v>
      </c>
      <c r="S11" s="16" t="e">
        <f t="shared" ca="1" si="1"/>
        <v>#VALUE!</v>
      </c>
      <c r="T11" s="7" t="s">
        <v>151</v>
      </c>
      <c r="V11" s="7" t="s">
        <v>774</v>
      </c>
      <c r="W11" s="12" t="s">
        <v>533</v>
      </c>
      <c r="X11" s="12" t="s">
        <v>534</v>
      </c>
      <c r="Y11" s="7" t="s">
        <v>781</v>
      </c>
      <c r="Z11" s="7" t="s">
        <v>779</v>
      </c>
      <c r="AA11" s="7" t="s">
        <v>490</v>
      </c>
      <c r="AB11" s="12">
        <v>65141</v>
      </c>
      <c r="AC11" s="7" t="s">
        <v>152</v>
      </c>
      <c r="AD11" s="7" t="s">
        <v>536</v>
      </c>
      <c r="AE11" s="7" t="s">
        <v>966</v>
      </c>
      <c r="AF11" s="7" t="s">
        <v>967</v>
      </c>
      <c r="AG11" s="7">
        <v>1</v>
      </c>
      <c r="AH11" s="7">
        <v>2</v>
      </c>
      <c r="AK11" s="7" t="s">
        <v>235</v>
      </c>
      <c r="AL11" s="7" t="s">
        <v>161</v>
      </c>
      <c r="AM11" s="7" t="s">
        <v>162</v>
      </c>
      <c r="AN11" s="7" t="s">
        <v>236</v>
      </c>
      <c r="AO11" s="12" t="s">
        <v>540</v>
      </c>
      <c r="AP11" s="12">
        <v>158</v>
      </c>
      <c r="AQ11" s="12" t="s">
        <v>541</v>
      </c>
      <c r="AR11" s="7" t="s">
        <v>165</v>
      </c>
      <c r="AS11" s="7" t="s">
        <v>446</v>
      </c>
      <c r="AT11" s="7" t="s">
        <v>167</v>
      </c>
      <c r="AU11" s="7" t="s">
        <v>968</v>
      </c>
      <c r="AV11" s="7" t="s">
        <v>852</v>
      </c>
      <c r="AW11" s="14" t="s">
        <v>969</v>
      </c>
      <c r="AX11" s="7" t="s">
        <v>543</v>
      </c>
      <c r="AY11" s="7" t="s">
        <v>857</v>
      </c>
      <c r="BA11" s="12" t="s">
        <v>533</v>
      </c>
      <c r="BB11" s="12" t="s">
        <v>534</v>
      </c>
      <c r="BC11" s="7" t="s">
        <v>489</v>
      </c>
      <c r="BD11" s="7" t="s">
        <v>779</v>
      </c>
      <c r="BE11" s="11" t="s">
        <v>490</v>
      </c>
      <c r="BF11" s="12">
        <v>65141</v>
      </c>
      <c r="BG11" s="7" t="s">
        <v>161</v>
      </c>
      <c r="BH11" s="12" t="s">
        <v>162</v>
      </c>
      <c r="BI11" s="12" t="s">
        <v>545</v>
      </c>
      <c r="BJ11" s="7" t="s">
        <v>174</v>
      </c>
      <c r="BK11" s="7" t="s">
        <v>500</v>
      </c>
      <c r="BL11" s="7" t="str">
        <f t="shared" si="0"/>
        <v>WIRASWASTA</v>
      </c>
      <c r="BM11" s="7" t="s">
        <v>876</v>
      </c>
      <c r="BN11" s="12" t="s">
        <v>549</v>
      </c>
      <c r="BO11" s="20" t="s">
        <v>550</v>
      </c>
      <c r="BP11" s="7" t="s">
        <v>551</v>
      </c>
      <c r="BR11" s="11" t="s">
        <v>884</v>
      </c>
      <c r="BS11" s="7" t="s">
        <v>887</v>
      </c>
      <c r="BT11" s="14" t="s">
        <v>970</v>
      </c>
      <c r="BU11" s="7" t="s">
        <v>554</v>
      </c>
      <c r="BV11" s="7" t="s">
        <v>774</v>
      </c>
      <c r="BW11" s="12" t="s">
        <v>533</v>
      </c>
      <c r="BX11" s="12" t="s">
        <v>534</v>
      </c>
      <c r="BY11" s="7" t="s">
        <v>489</v>
      </c>
      <c r="BZ11" s="7" t="s">
        <v>779</v>
      </c>
      <c r="CA11" s="11" t="s">
        <v>490</v>
      </c>
      <c r="CB11" s="12">
        <v>65141</v>
      </c>
      <c r="CC11" s="7" t="s">
        <v>161</v>
      </c>
      <c r="CD11" s="7" t="s">
        <v>162</v>
      </c>
      <c r="CE11" s="12" t="s">
        <v>536</v>
      </c>
      <c r="CF11" s="7" t="s">
        <v>183</v>
      </c>
      <c r="CG11" s="7" t="s">
        <v>500</v>
      </c>
      <c r="CH11" s="7" t="s">
        <v>896</v>
      </c>
      <c r="CI11" s="7" t="s">
        <v>900</v>
      </c>
      <c r="CJ11" s="12" t="s">
        <v>152</v>
      </c>
      <c r="CK11" s="7" t="s">
        <v>550</v>
      </c>
      <c r="CL11" s="7" t="s">
        <v>526</v>
      </c>
      <c r="CN11" s="7" t="s">
        <v>841</v>
      </c>
      <c r="CP11" s="12"/>
    </row>
    <row r="12" spans="1:113" s="7" customFormat="1" ht="24.75" customHeight="1" x14ac:dyDescent="0.2">
      <c r="A12" s="12">
        <v>11</v>
      </c>
      <c r="B12" s="14" t="s">
        <v>832</v>
      </c>
      <c r="C12" s="7" t="s">
        <v>186</v>
      </c>
      <c r="D12" s="7" t="s">
        <v>259</v>
      </c>
      <c r="E12" s="7" t="s">
        <v>803</v>
      </c>
      <c r="F12" s="13" t="s">
        <v>932</v>
      </c>
      <c r="G12" s="13" t="s">
        <v>805</v>
      </c>
      <c r="H12" s="14"/>
      <c r="I12" s="13" t="s">
        <v>971</v>
      </c>
      <c r="J12" s="13" t="s">
        <v>1010</v>
      </c>
      <c r="K12" s="7" t="s">
        <v>745</v>
      </c>
      <c r="L12" s="12">
        <v>7</v>
      </c>
      <c r="M12" s="12" t="s">
        <v>801</v>
      </c>
      <c r="N12" s="12" t="s">
        <v>751</v>
      </c>
      <c r="O12" s="12" t="s">
        <v>342</v>
      </c>
      <c r="P12" s="12" t="s">
        <v>149</v>
      </c>
      <c r="Q12" s="12" t="s">
        <v>226</v>
      </c>
      <c r="R12" s="16" t="s">
        <v>761</v>
      </c>
      <c r="S12" s="16" t="e">
        <f t="shared" ca="1" si="1"/>
        <v>#VALUE!</v>
      </c>
      <c r="T12" s="7" t="s">
        <v>287</v>
      </c>
      <c r="U12" s="7" t="s">
        <v>769</v>
      </c>
      <c r="V12" s="7" t="s">
        <v>771</v>
      </c>
      <c r="W12" s="12" t="s">
        <v>346</v>
      </c>
      <c r="X12" s="12" t="s">
        <v>347</v>
      </c>
      <c r="Y12" s="7" t="s">
        <v>778</v>
      </c>
      <c r="Z12" s="7" t="s">
        <v>489</v>
      </c>
      <c r="AA12" s="7" t="s">
        <v>490</v>
      </c>
      <c r="AB12" s="12">
        <v>65144</v>
      </c>
      <c r="AC12" s="7">
        <v>0</v>
      </c>
      <c r="AD12" s="7" t="s">
        <v>349</v>
      </c>
      <c r="AE12" s="7" t="s">
        <v>972</v>
      </c>
      <c r="AF12" s="7" t="s">
        <v>792</v>
      </c>
      <c r="AG12" s="7">
        <v>2</v>
      </c>
      <c r="AH12" s="7">
        <v>2</v>
      </c>
      <c r="AK12" s="7" t="s">
        <v>294</v>
      </c>
      <c r="AL12" s="7" t="s">
        <v>161</v>
      </c>
      <c r="AM12" s="7" t="s">
        <v>162</v>
      </c>
      <c r="AN12" s="7" t="s">
        <v>236</v>
      </c>
      <c r="AO12" s="12" t="s">
        <v>354</v>
      </c>
      <c r="AP12" s="12" t="s">
        <v>355</v>
      </c>
      <c r="AQ12" s="12" t="s">
        <v>164</v>
      </c>
      <c r="AR12" s="7" t="s">
        <v>295</v>
      </c>
      <c r="AS12" s="7" t="s">
        <v>239</v>
      </c>
      <c r="AT12" s="7" t="s">
        <v>167</v>
      </c>
      <c r="AU12" s="7" t="s">
        <v>846</v>
      </c>
      <c r="AV12" s="7" t="s">
        <v>226</v>
      </c>
      <c r="AW12" s="14" t="s">
        <v>973</v>
      </c>
      <c r="AX12" s="34" t="s">
        <v>1011</v>
      </c>
      <c r="AY12" s="7" t="s">
        <v>771</v>
      </c>
      <c r="BA12" s="12" t="s">
        <v>346</v>
      </c>
      <c r="BB12" s="12" t="s">
        <v>347</v>
      </c>
      <c r="BC12" s="7" t="s">
        <v>778</v>
      </c>
      <c r="BD12" s="7" t="s">
        <v>489</v>
      </c>
      <c r="BE12" s="11" t="s">
        <v>490</v>
      </c>
      <c r="BF12" s="12">
        <v>65144</v>
      </c>
      <c r="BG12" s="7" t="s">
        <v>161</v>
      </c>
      <c r="BH12" s="12" t="s">
        <v>162</v>
      </c>
      <c r="BI12" s="12" t="s">
        <v>358</v>
      </c>
      <c r="BJ12" s="7" t="s">
        <v>183</v>
      </c>
      <c r="BK12" s="7" t="s">
        <v>868</v>
      </c>
      <c r="BL12" s="7" t="str">
        <f t="shared" si="0"/>
        <v>WIRAUSAHA</v>
      </c>
      <c r="BM12" s="7" t="s">
        <v>877</v>
      </c>
      <c r="BN12" s="12"/>
      <c r="BO12" s="20" t="s">
        <v>362</v>
      </c>
      <c r="BP12" s="7" t="s">
        <v>363</v>
      </c>
      <c r="BR12" s="11" t="s">
        <v>792</v>
      </c>
      <c r="BS12" s="7" t="s">
        <v>226</v>
      </c>
      <c r="BT12" s="14" t="s">
        <v>974</v>
      </c>
      <c r="BU12" s="34" t="s">
        <v>1012</v>
      </c>
      <c r="BV12" s="7" t="s">
        <v>771</v>
      </c>
      <c r="BW12" s="12" t="s">
        <v>346</v>
      </c>
      <c r="BX12" s="12" t="s">
        <v>347</v>
      </c>
      <c r="BY12" s="7" t="s">
        <v>778</v>
      </c>
      <c r="BZ12" s="7" t="s">
        <v>489</v>
      </c>
      <c r="CA12" s="11" t="s">
        <v>490</v>
      </c>
      <c r="CB12" s="12">
        <v>65144</v>
      </c>
      <c r="CC12" s="7" t="s">
        <v>161</v>
      </c>
      <c r="CD12" s="7" t="s">
        <v>162</v>
      </c>
      <c r="CE12" s="12" t="s">
        <v>349</v>
      </c>
      <c r="CF12" s="7" t="s">
        <v>309</v>
      </c>
      <c r="CG12" s="7" t="s">
        <v>891</v>
      </c>
      <c r="CH12" s="7" t="s">
        <v>152</v>
      </c>
      <c r="CI12" s="7" t="s">
        <v>152</v>
      </c>
      <c r="CJ12" s="12"/>
      <c r="CK12" s="7" t="s">
        <v>152</v>
      </c>
      <c r="CL12" s="7" t="s">
        <v>339</v>
      </c>
      <c r="CN12" s="7" t="s">
        <v>841</v>
      </c>
      <c r="CP12" s="12"/>
    </row>
    <row r="13" spans="1:113" s="7" customFormat="1" ht="24.75" customHeight="1" x14ac:dyDescent="0.2">
      <c r="A13" s="12">
        <v>12</v>
      </c>
      <c r="B13" s="14" t="s">
        <v>833</v>
      </c>
      <c r="C13" s="7" t="s">
        <v>186</v>
      </c>
      <c r="D13" s="7" t="s">
        <v>838</v>
      </c>
      <c r="E13" s="7" t="s">
        <v>975</v>
      </c>
      <c r="F13" s="13" t="s">
        <v>933</v>
      </c>
      <c r="G13" s="13" t="s">
        <v>813</v>
      </c>
      <c r="H13" s="36" t="s">
        <v>1034</v>
      </c>
      <c r="I13" s="13" t="s">
        <v>976</v>
      </c>
      <c r="J13" s="12" t="s">
        <v>485</v>
      </c>
      <c r="K13" s="7" t="s">
        <v>482</v>
      </c>
      <c r="L13" s="12">
        <v>7</v>
      </c>
      <c r="M13" s="12" t="s">
        <v>801</v>
      </c>
      <c r="N13" s="12" t="s">
        <v>483</v>
      </c>
      <c r="O13" s="12" t="s">
        <v>484</v>
      </c>
      <c r="P13" s="12" t="s">
        <v>149</v>
      </c>
      <c r="Q13" s="12" t="s">
        <v>226</v>
      </c>
      <c r="R13" s="16" t="s">
        <v>817</v>
      </c>
      <c r="S13" s="16" t="str">
        <f t="shared" ref="S13:S15" ca="1" si="2">DATEDIF(R13, TODAY(), "Y") &amp; " Tahun " &amp; DATEDIF(R13, TODAY(), "YM") &amp; " Bulan " &amp; DATEDIF(R13, TODAY(), "MD") &amp; " Hari"</f>
        <v>12 Tahun 6 Bulan 14 Hari</v>
      </c>
      <c r="T13" s="7" t="s">
        <v>151</v>
      </c>
      <c r="V13" s="7" t="s">
        <v>486</v>
      </c>
      <c r="W13" s="12" t="s">
        <v>346</v>
      </c>
      <c r="X13" s="12" t="s">
        <v>487</v>
      </c>
      <c r="Y13" s="7" t="s">
        <v>488</v>
      </c>
      <c r="Z13" s="7" t="s">
        <v>489</v>
      </c>
      <c r="AA13" s="7" t="s">
        <v>490</v>
      </c>
      <c r="AB13" s="12">
        <v>65144</v>
      </c>
      <c r="AC13" s="7">
        <v>0</v>
      </c>
      <c r="AD13" s="7" t="s">
        <v>491</v>
      </c>
      <c r="AE13" s="7" t="s">
        <v>492</v>
      </c>
      <c r="AF13" s="7" t="s">
        <v>493</v>
      </c>
      <c r="AG13" s="7">
        <v>2</v>
      </c>
      <c r="AH13" s="7">
        <v>2</v>
      </c>
      <c r="AI13" s="7">
        <v>0</v>
      </c>
      <c r="AJ13" s="7">
        <v>0</v>
      </c>
      <c r="AK13" s="7" t="s">
        <v>235</v>
      </c>
      <c r="AL13" s="7" t="s">
        <v>161</v>
      </c>
      <c r="AM13" s="7" t="s">
        <v>162</v>
      </c>
      <c r="AN13" s="7" t="s">
        <v>236</v>
      </c>
      <c r="AO13" s="12">
        <v>24</v>
      </c>
      <c r="AP13" s="12">
        <v>141</v>
      </c>
      <c r="AQ13" s="12" t="s">
        <v>494</v>
      </c>
      <c r="AR13" s="7" t="s">
        <v>165</v>
      </c>
      <c r="AS13" s="7" t="s">
        <v>166</v>
      </c>
      <c r="AT13" s="7" t="s">
        <v>167</v>
      </c>
      <c r="AU13" s="7" t="s">
        <v>847</v>
      </c>
      <c r="AV13" s="7" t="s">
        <v>496</v>
      </c>
      <c r="AW13" s="14" t="s">
        <v>977</v>
      </c>
      <c r="AX13" s="7" t="s">
        <v>497</v>
      </c>
      <c r="AY13" s="7" t="s">
        <v>498</v>
      </c>
      <c r="BA13" s="12" t="s">
        <v>346</v>
      </c>
      <c r="BB13" s="12" t="s">
        <v>487</v>
      </c>
      <c r="BC13" s="7" t="s">
        <v>488</v>
      </c>
      <c r="BD13" s="7" t="s">
        <v>489</v>
      </c>
      <c r="BE13" s="11" t="s">
        <v>490</v>
      </c>
      <c r="BF13" s="12">
        <v>65144</v>
      </c>
      <c r="BG13" s="7" t="s">
        <v>161</v>
      </c>
      <c r="BH13" s="12" t="s">
        <v>162</v>
      </c>
      <c r="BI13" s="12" t="s">
        <v>499</v>
      </c>
      <c r="BJ13" s="7" t="s">
        <v>183</v>
      </c>
      <c r="BK13" s="7" t="s">
        <v>500</v>
      </c>
      <c r="BL13" s="7" t="str">
        <f t="shared" si="0"/>
        <v>WIRASWASTA</v>
      </c>
      <c r="BM13" s="7" t="s">
        <v>878</v>
      </c>
      <c r="BN13" s="12">
        <v>0</v>
      </c>
      <c r="BO13" s="20" t="s">
        <v>257</v>
      </c>
      <c r="BP13" s="7" t="s">
        <v>481</v>
      </c>
      <c r="BR13" s="7" t="s">
        <v>501</v>
      </c>
      <c r="BS13" s="7" t="s">
        <v>502</v>
      </c>
      <c r="BT13" s="14" t="s">
        <v>978</v>
      </c>
      <c r="BU13" s="7" t="s">
        <v>503</v>
      </c>
      <c r="BV13" s="7" t="s">
        <v>486</v>
      </c>
      <c r="BW13" s="12" t="s">
        <v>346</v>
      </c>
      <c r="BX13" s="12" t="s">
        <v>487</v>
      </c>
      <c r="BY13" s="7" t="s">
        <v>488</v>
      </c>
      <c r="BZ13" s="7" t="s">
        <v>489</v>
      </c>
      <c r="CA13" s="11" t="s">
        <v>490</v>
      </c>
      <c r="CB13" s="12">
        <v>65144</v>
      </c>
      <c r="CC13" s="7" t="s">
        <v>161</v>
      </c>
      <c r="CD13" s="7" t="s">
        <v>162</v>
      </c>
      <c r="CE13" s="12" t="s">
        <v>504</v>
      </c>
      <c r="CF13" s="7" t="s">
        <v>174</v>
      </c>
      <c r="CG13" s="7" t="s">
        <v>244</v>
      </c>
      <c r="CH13" s="7" t="s">
        <v>505</v>
      </c>
      <c r="CI13" s="7" t="s">
        <v>506</v>
      </c>
      <c r="CJ13" s="12">
        <v>0</v>
      </c>
      <c r="CK13" s="7" t="s">
        <v>409</v>
      </c>
      <c r="CL13" s="7" t="s">
        <v>507</v>
      </c>
      <c r="CN13" s="7" t="s">
        <v>841</v>
      </c>
      <c r="CP13" s="12"/>
    </row>
    <row r="14" spans="1:113" s="7" customFormat="1" ht="24.75" customHeight="1" x14ac:dyDescent="0.2">
      <c r="A14" s="12">
        <v>13</v>
      </c>
      <c r="B14" s="14" t="s">
        <v>832</v>
      </c>
      <c r="C14" s="7" t="s">
        <v>186</v>
      </c>
      <c r="D14" s="7" t="s">
        <v>259</v>
      </c>
      <c r="E14" s="7" t="s">
        <v>803</v>
      </c>
      <c r="F14" s="13" t="s">
        <v>934</v>
      </c>
      <c r="G14" s="13" t="s">
        <v>806</v>
      </c>
      <c r="H14" s="36" t="s">
        <v>1029</v>
      </c>
      <c r="I14" s="13" t="s">
        <v>979</v>
      </c>
      <c r="J14" s="13" t="s">
        <v>148</v>
      </c>
      <c r="K14" s="7" t="s">
        <v>145</v>
      </c>
      <c r="L14" s="12">
        <v>7</v>
      </c>
      <c r="M14" s="12" t="s">
        <v>801</v>
      </c>
      <c r="N14" s="12" t="s">
        <v>146</v>
      </c>
      <c r="O14" s="12" t="s">
        <v>147</v>
      </c>
      <c r="P14" s="12" t="s">
        <v>149</v>
      </c>
      <c r="Q14" s="12" t="s">
        <v>226</v>
      </c>
      <c r="R14" s="16" t="s">
        <v>759</v>
      </c>
      <c r="S14" s="16" t="e">
        <f t="shared" ca="1" si="2"/>
        <v>#VALUE!</v>
      </c>
      <c r="T14" s="7" t="s">
        <v>151</v>
      </c>
      <c r="V14" s="7" t="s">
        <v>770</v>
      </c>
      <c r="W14" s="12">
        <v>19</v>
      </c>
      <c r="X14" s="12">
        <v>1</v>
      </c>
      <c r="Y14" s="7" t="s">
        <v>785</v>
      </c>
      <c r="Z14" s="7" t="s">
        <v>489</v>
      </c>
      <c r="AA14" s="7" t="s">
        <v>490</v>
      </c>
      <c r="AB14" s="12">
        <v>65143</v>
      </c>
      <c r="AC14" s="7" t="s">
        <v>152</v>
      </c>
      <c r="AD14" s="7" t="s">
        <v>157</v>
      </c>
      <c r="AE14" s="7" t="s">
        <v>158</v>
      </c>
      <c r="AF14" s="7" t="s">
        <v>159</v>
      </c>
      <c r="AG14" s="7">
        <v>3</v>
      </c>
      <c r="AH14" s="7">
        <v>3</v>
      </c>
      <c r="AI14" s="7" t="s">
        <v>152</v>
      </c>
      <c r="AJ14" s="7" t="s">
        <v>152</v>
      </c>
      <c r="AK14" s="7" t="s">
        <v>294</v>
      </c>
      <c r="AL14" s="7" t="s">
        <v>161</v>
      </c>
      <c r="AM14" s="7" t="s">
        <v>162</v>
      </c>
      <c r="AN14" s="7" t="s">
        <v>236</v>
      </c>
      <c r="AO14" s="12">
        <v>63</v>
      </c>
      <c r="AP14" s="12">
        <v>155</v>
      </c>
      <c r="AQ14" s="12" t="s">
        <v>164</v>
      </c>
      <c r="AR14" s="7" t="s">
        <v>165</v>
      </c>
      <c r="AS14" s="7" t="s">
        <v>166</v>
      </c>
      <c r="AT14" s="7" t="s">
        <v>167</v>
      </c>
      <c r="AU14" s="7" t="s">
        <v>848</v>
      </c>
      <c r="AV14" s="7" t="s">
        <v>853</v>
      </c>
      <c r="AW14" s="14" t="s">
        <v>980</v>
      </c>
      <c r="AX14" s="34" t="s">
        <v>170</v>
      </c>
      <c r="AY14" s="7" t="s">
        <v>770</v>
      </c>
      <c r="BA14" s="12">
        <v>19</v>
      </c>
      <c r="BB14" s="12">
        <v>1</v>
      </c>
      <c r="BC14" s="7" t="s">
        <v>785</v>
      </c>
      <c r="BD14" s="7" t="s">
        <v>860</v>
      </c>
      <c r="BE14" s="7" t="s">
        <v>490</v>
      </c>
      <c r="BF14" s="12">
        <v>65143</v>
      </c>
      <c r="BG14" s="7" t="s">
        <v>161</v>
      </c>
      <c r="BH14" s="12" t="s">
        <v>162</v>
      </c>
      <c r="BI14" s="12" t="s">
        <v>157</v>
      </c>
      <c r="BJ14" s="7" t="s">
        <v>174</v>
      </c>
      <c r="BK14" s="7" t="s">
        <v>869</v>
      </c>
      <c r="BL14" s="7" t="str">
        <f t="shared" si="0"/>
        <v>PENSIUNAN BNI</v>
      </c>
      <c r="BM14" s="7" t="s">
        <v>152</v>
      </c>
      <c r="BN14" s="12" t="s">
        <v>152</v>
      </c>
      <c r="BO14" s="20">
        <v>6000000</v>
      </c>
      <c r="BP14" s="7" t="s">
        <v>176</v>
      </c>
      <c r="BQ14" s="7" t="s">
        <v>177</v>
      </c>
      <c r="BR14" s="7" t="s">
        <v>981</v>
      </c>
      <c r="BS14" s="7" t="s">
        <v>226</v>
      </c>
      <c r="BT14" s="14" t="s">
        <v>982</v>
      </c>
      <c r="BU14" s="34" t="s">
        <v>179</v>
      </c>
      <c r="BV14" s="7" t="s">
        <v>889</v>
      </c>
      <c r="BW14" s="12">
        <v>19</v>
      </c>
      <c r="BX14" s="12">
        <v>1</v>
      </c>
      <c r="BY14" s="7" t="s">
        <v>860</v>
      </c>
      <c r="BZ14" s="7" t="s">
        <v>785</v>
      </c>
      <c r="CA14" s="11" t="s">
        <v>490</v>
      </c>
      <c r="CB14" s="12">
        <v>65143</v>
      </c>
      <c r="CC14" s="7" t="s">
        <v>161</v>
      </c>
      <c r="CD14" s="7" t="s">
        <v>162</v>
      </c>
      <c r="CE14" s="12" t="s">
        <v>182</v>
      </c>
      <c r="CF14" s="7" t="s">
        <v>183</v>
      </c>
      <c r="CG14" s="7" t="s">
        <v>892</v>
      </c>
      <c r="CH14" s="7" t="s">
        <v>152</v>
      </c>
      <c r="CI14" s="7" t="s">
        <v>152</v>
      </c>
      <c r="CJ14" s="12" t="s">
        <v>152</v>
      </c>
      <c r="CK14" s="7" t="s">
        <v>152</v>
      </c>
      <c r="CL14" s="7" t="s">
        <v>144</v>
      </c>
      <c r="CM14" s="7" t="s">
        <v>185</v>
      </c>
      <c r="CN14" s="7" t="s">
        <v>152</v>
      </c>
      <c r="CO14" s="7" t="s">
        <v>152</v>
      </c>
      <c r="CP14" s="12"/>
      <c r="CQ14" s="7" t="s">
        <v>152</v>
      </c>
      <c r="CR14" s="7" t="s">
        <v>152</v>
      </c>
      <c r="CS14" s="7" t="s">
        <v>152</v>
      </c>
      <c r="CT14" s="7" t="s">
        <v>152</v>
      </c>
      <c r="CU14" s="7" t="s">
        <v>152</v>
      </c>
      <c r="CV14" s="7" t="s">
        <v>152</v>
      </c>
      <c r="CW14" s="7" t="s">
        <v>152</v>
      </c>
      <c r="CZ14" s="7" t="s">
        <v>152</v>
      </c>
      <c r="DB14" s="7" t="s">
        <v>152</v>
      </c>
      <c r="DC14" s="7" t="s">
        <v>152</v>
      </c>
      <c r="DD14" s="7" t="s">
        <v>152</v>
      </c>
      <c r="DE14" s="7" t="s">
        <v>152</v>
      </c>
      <c r="DF14" s="7" t="s">
        <v>152</v>
      </c>
      <c r="DG14" s="7" t="s">
        <v>152</v>
      </c>
      <c r="DH14" s="7" t="s">
        <v>152</v>
      </c>
      <c r="DI14" s="7" t="s">
        <v>758</v>
      </c>
    </row>
    <row r="15" spans="1:113" s="7" customFormat="1" ht="24.75" customHeight="1" x14ac:dyDescent="0.2">
      <c r="A15" s="12">
        <v>14</v>
      </c>
      <c r="B15" s="14" t="s">
        <v>831</v>
      </c>
      <c r="C15" s="7" t="s">
        <v>186</v>
      </c>
      <c r="D15" s="7" t="s">
        <v>837</v>
      </c>
      <c r="E15" s="7" t="s">
        <v>983</v>
      </c>
      <c r="F15" s="13" t="s">
        <v>935</v>
      </c>
      <c r="G15" s="13" t="s">
        <v>814</v>
      </c>
      <c r="H15" s="36" t="s">
        <v>1032</v>
      </c>
      <c r="I15" s="13" t="s">
        <v>984</v>
      </c>
      <c r="J15" s="12" t="s">
        <v>704</v>
      </c>
      <c r="K15" s="7" t="s">
        <v>701</v>
      </c>
      <c r="L15" s="12">
        <v>7</v>
      </c>
      <c r="M15" s="12" t="s">
        <v>801</v>
      </c>
      <c r="N15" s="12" t="s">
        <v>702</v>
      </c>
      <c r="O15" s="12" t="s">
        <v>703</v>
      </c>
      <c r="P15" s="12" t="s">
        <v>286</v>
      </c>
      <c r="Q15" s="12" t="s">
        <v>226</v>
      </c>
      <c r="R15" s="16" t="s">
        <v>767</v>
      </c>
      <c r="S15" s="16" t="e">
        <f t="shared" ca="1" si="2"/>
        <v>#VALUE!</v>
      </c>
      <c r="T15" s="7" t="s">
        <v>151</v>
      </c>
      <c r="V15" s="7" t="s">
        <v>776</v>
      </c>
      <c r="W15" s="12" t="s">
        <v>577</v>
      </c>
      <c r="X15" s="12" t="s">
        <v>346</v>
      </c>
      <c r="Y15" s="7" t="s">
        <v>784</v>
      </c>
      <c r="Z15" s="7" t="s">
        <v>489</v>
      </c>
      <c r="AA15" s="7" t="s">
        <v>490</v>
      </c>
      <c r="AB15" s="12">
        <v>65142</v>
      </c>
      <c r="AC15" s="7" t="s">
        <v>707</v>
      </c>
      <c r="AD15" s="7" t="s">
        <v>708</v>
      </c>
      <c r="AE15" s="7" t="s">
        <v>709</v>
      </c>
      <c r="AF15" s="7" t="s">
        <v>710</v>
      </c>
      <c r="AG15" s="7">
        <v>2</v>
      </c>
      <c r="AH15" s="7">
        <v>2</v>
      </c>
      <c r="AI15" s="7">
        <v>2</v>
      </c>
      <c r="AK15" s="7" t="s">
        <v>294</v>
      </c>
      <c r="AL15" s="7" t="s">
        <v>161</v>
      </c>
      <c r="AM15" s="7" t="s">
        <v>162</v>
      </c>
      <c r="AN15" s="7" t="s">
        <v>236</v>
      </c>
      <c r="AO15" s="12">
        <v>60</v>
      </c>
      <c r="AP15" s="12">
        <v>155</v>
      </c>
      <c r="AQ15" s="12" t="s">
        <v>164</v>
      </c>
      <c r="AR15" s="7" t="s">
        <v>165</v>
      </c>
      <c r="AS15" s="7" t="s">
        <v>239</v>
      </c>
      <c r="AT15" s="7" t="s">
        <v>167</v>
      </c>
      <c r="AU15" s="7" t="s">
        <v>709</v>
      </c>
      <c r="AV15" s="7" t="s">
        <v>711</v>
      </c>
      <c r="AW15" s="14" t="s">
        <v>985</v>
      </c>
      <c r="AX15" s="7" t="s">
        <v>712</v>
      </c>
      <c r="AY15" s="7" t="s">
        <v>858</v>
      </c>
      <c r="BA15" s="12" t="s">
        <v>577</v>
      </c>
      <c r="BB15" s="12" t="s">
        <v>346</v>
      </c>
      <c r="BC15" s="7" t="s">
        <v>784</v>
      </c>
      <c r="BD15" s="7" t="s">
        <v>861</v>
      </c>
      <c r="BE15" s="7" t="s">
        <v>490</v>
      </c>
      <c r="BF15" s="12">
        <v>65142</v>
      </c>
      <c r="BG15" s="7" t="s">
        <v>161</v>
      </c>
      <c r="BH15" s="12" t="s">
        <v>162</v>
      </c>
      <c r="BI15" s="12" t="s">
        <v>715</v>
      </c>
      <c r="BJ15" s="7" t="s">
        <v>672</v>
      </c>
      <c r="BK15" s="7" t="s">
        <v>500</v>
      </c>
      <c r="BL15" s="7" t="str">
        <f t="shared" si="0"/>
        <v>WIRASWASTA</v>
      </c>
      <c r="BM15" s="7" t="s">
        <v>858</v>
      </c>
      <c r="BN15" s="12" t="s">
        <v>715</v>
      </c>
      <c r="BO15" s="20" t="s">
        <v>718</v>
      </c>
      <c r="BP15" s="7" t="s">
        <v>719</v>
      </c>
      <c r="BQ15" s="7" t="s">
        <v>720</v>
      </c>
      <c r="BR15" s="7" t="s">
        <v>721</v>
      </c>
      <c r="BS15" s="7" t="s">
        <v>226</v>
      </c>
      <c r="BT15" s="14" t="s">
        <v>152</v>
      </c>
      <c r="BU15" s="7" t="s">
        <v>152</v>
      </c>
      <c r="BV15" s="7" t="s">
        <v>152</v>
      </c>
      <c r="BW15" s="12" t="s">
        <v>152</v>
      </c>
      <c r="BX15" s="12" t="s">
        <v>152</v>
      </c>
      <c r="BY15" s="7" t="s">
        <v>152</v>
      </c>
      <c r="BZ15" s="7" t="s">
        <v>152</v>
      </c>
      <c r="CA15" s="7" t="s">
        <v>152</v>
      </c>
      <c r="CB15" s="12" t="s">
        <v>152</v>
      </c>
      <c r="CC15" s="7" t="s">
        <v>161</v>
      </c>
      <c r="CD15" s="7" t="s">
        <v>162</v>
      </c>
      <c r="CE15" s="12" t="s">
        <v>152</v>
      </c>
      <c r="CF15" s="7" t="s">
        <v>309</v>
      </c>
      <c r="CG15" s="7" t="s">
        <v>152</v>
      </c>
      <c r="CH15" s="7" t="s">
        <v>152</v>
      </c>
      <c r="CI15" s="7" t="s">
        <v>152</v>
      </c>
      <c r="CJ15" s="12" t="s">
        <v>152</v>
      </c>
      <c r="CK15" s="7" t="s">
        <v>152</v>
      </c>
      <c r="CL15" s="7" t="s">
        <v>152</v>
      </c>
      <c r="CM15" s="7" t="s">
        <v>152</v>
      </c>
      <c r="CN15" s="7" t="s">
        <v>722</v>
      </c>
      <c r="CO15" s="11" t="s">
        <v>226</v>
      </c>
      <c r="CP15" s="12">
        <v>37481</v>
      </c>
      <c r="CQ15" s="7" t="s">
        <v>723</v>
      </c>
      <c r="CR15" s="7" t="s">
        <v>858</v>
      </c>
      <c r="CS15" s="7" t="s">
        <v>577</v>
      </c>
      <c r="CT15" s="7" t="s">
        <v>346</v>
      </c>
      <c r="CU15" s="11" t="s">
        <v>784</v>
      </c>
      <c r="CV15" s="11" t="s">
        <v>489</v>
      </c>
      <c r="CW15" s="11" t="s">
        <v>490</v>
      </c>
      <c r="CX15" s="7" t="s">
        <v>161</v>
      </c>
      <c r="CY15" s="7" t="s">
        <v>162</v>
      </c>
      <c r="CZ15" s="7" t="s">
        <v>707</v>
      </c>
      <c r="DA15" s="7" t="s">
        <v>309</v>
      </c>
      <c r="DB15" s="7" t="s">
        <v>500</v>
      </c>
      <c r="DC15" s="11" t="s">
        <v>908</v>
      </c>
      <c r="DD15" s="7" t="s">
        <v>858</v>
      </c>
      <c r="DE15" s="7" t="s">
        <v>707</v>
      </c>
      <c r="DF15" s="7" t="s">
        <v>725</v>
      </c>
      <c r="DG15" s="7" t="s">
        <v>700</v>
      </c>
    </row>
    <row r="16" spans="1:113" ht="15.75" customHeight="1" x14ac:dyDescent="0.2">
      <c r="B16" s="15"/>
      <c r="H16" s="15"/>
      <c r="AW16" s="15"/>
      <c r="BT16" s="15"/>
    </row>
    <row r="17" spans="72:72" ht="15.75" customHeight="1" x14ac:dyDescent="0.2">
      <c r="BT17" s="15"/>
    </row>
    <row r="18" spans="72:72" ht="15.75" customHeight="1" x14ac:dyDescent="0.2">
      <c r="BT18" s="15"/>
    </row>
  </sheetData>
  <autoFilter ref="A1:DH14" xr:uid="{00000000-0001-0000-0000-000000000000}">
    <sortState xmlns:xlrd2="http://schemas.microsoft.com/office/spreadsheetml/2017/richdata2" ref="A2:DH15">
      <sortCondition ref="K1:K14"/>
    </sortState>
  </autoFilter>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310B7-DE5B-4BC8-B3DC-7ADBFEA2BA3D}">
  <dimension ref="A1:EN15"/>
  <sheetViews>
    <sheetView topLeftCell="B1" workbookViewId="0">
      <selection activeCell="I2" sqref="I2:I13"/>
    </sheetView>
  </sheetViews>
  <sheetFormatPr defaultColWidth="12.5703125" defaultRowHeight="15.75" customHeight="1" x14ac:dyDescent="0.2"/>
  <cols>
    <col min="1" max="1" width="17" bestFit="1" customWidth="1"/>
    <col min="2" max="2" width="28.28515625" bestFit="1" customWidth="1"/>
    <col min="3" max="3" width="36.5703125" bestFit="1" customWidth="1"/>
    <col min="4" max="4" width="18" bestFit="1" customWidth="1"/>
    <col min="5" max="5" width="18.28515625" bestFit="1" customWidth="1"/>
    <col min="6" max="6" width="22.140625" bestFit="1" customWidth="1"/>
    <col min="7" max="7" width="15" bestFit="1" customWidth="1"/>
    <col min="8" max="8" width="17.28515625" bestFit="1" customWidth="1"/>
    <col min="9" max="9" width="15.7109375" bestFit="1" customWidth="1"/>
    <col min="10" max="10" width="31" bestFit="1" customWidth="1"/>
    <col min="11" max="11" width="51" bestFit="1" customWidth="1"/>
    <col min="12" max="12" width="55.140625" bestFit="1" customWidth="1"/>
    <col min="13" max="13" width="4" bestFit="1" customWidth="1"/>
    <col min="14" max="14" width="4.140625" bestFit="1" customWidth="1"/>
    <col min="15" max="15" width="14.7109375" bestFit="1" customWidth="1"/>
    <col min="16" max="16" width="13.85546875" bestFit="1" customWidth="1"/>
    <col min="17" max="17" width="18.140625" bestFit="1" customWidth="1"/>
    <col min="18" max="18" width="10.28515625" bestFit="1" customWidth="1"/>
    <col min="19" max="19" width="21" bestFit="1" customWidth="1"/>
    <col min="20" max="20" width="16.7109375" bestFit="1" customWidth="1"/>
    <col min="21" max="21" width="47.7109375" bestFit="1" customWidth="1"/>
    <col min="22" max="22" width="45.42578125" bestFit="1" customWidth="1"/>
    <col min="23" max="23" width="9.28515625" bestFit="1" customWidth="1"/>
    <col min="24" max="24" width="28.140625" bestFit="1" customWidth="1"/>
    <col min="25" max="25" width="22" bestFit="1" customWidth="1"/>
    <col min="26" max="26" width="26.5703125" bestFit="1" customWidth="1"/>
    <col min="27" max="27" width="35.140625" bestFit="1" customWidth="1"/>
    <col min="28" max="28" width="27.7109375" bestFit="1" customWidth="1"/>
    <col min="29" max="29" width="7.85546875" bestFit="1" customWidth="1"/>
    <col min="30" max="30" width="14.7109375" bestFit="1" customWidth="1"/>
    <col min="31" max="31" width="24.42578125" bestFit="1" customWidth="1"/>
    <col min="32" max="32" width="24.85546875" bestFit="1" customWidth="1"/>
    <col min="33" max="33" width="18.85546875" bestFit="1" customWidth="1"/>
    <col min="34" max="34" width="17.42578125" bestFit="1" customWidth="1"/>
    <col min="35" max="35" width="17" bestFit="1" customWidth="1"/>
    <col min="36" max="36" width="19.85546875" bestFit="1" customWidth="1"/>
    <col min="37" max="37" width="44.85546875" bestFit="1" customWidth="1"/>
    <col min="38" max="38" width="20.28515625" bestFit="1" customWidth="1"/>
    <col min="39" max="39" width="21.7109375" bestFit="1" customWidth="1"/>
    <col min="40" max="40" width="17.28515625" bestFit="1" customWidth="1"/>
    <col min="41" max="41" width="55.140625" bestFit="1" customWidth="1"/>
    <col min="42" max="42" width="4.85546875" bestFit="1" customWidth="1"/>
    <col min="43" max="43" width="5.7109375" bestFit="1" customWidth="1"/>
    <col min="44" max="44" width="14.7109375" bestFit="1" customWidth="1"/>
    <col min="45" max="45" width="14.28515625" bestFit="1" customWidth="1"/>
    <col min="46" max="46" width="19.7109375" bestFit="1" customWidth="1"/>
    <col min="47" max="47" width="10.85546875" bestFit="1" customWidth="1"/>
    <col min="48" max="48" width="27.7109375" bestFit="1" customWidth="1"/>
    <col min="49" max="49" width="13.7109375" bestFit="1" customWidth="1"/>
    <col min="50" max="50" width="22.7109375" customWidth="1"/>
    <col min="51" max="51" width="28.140625" bestFit="1" customWidth="1"/>
    <col min="52" max="52" width="20.7109375" bestFit="1" customWidth="1"/>
    <col min="53" max="53" width="32.85546875" bestFit="1" customWidth="1"/>
    <col min="54" max="54" width="86.85546875" bestFit="1" customWidth="1"/>
    <col min="55" max="55" width="38.140625" bestFit="1" customWidth="1"/>
    <col min="56" max="56" width="31.7109375" bestFit="1" customWidth="1"/>
    <col min="57" max="57" width="29.42578125" bestFit="1" customWidth="1"/>
    <col min="58" max="58" width="57" bestFit="1" customWidth="1"/>
    <col min="59" max="59" width="43" bestFit="1" customWidth="1"/>
    <col min="60" max="60" width="18.140625" bestFit="1" customWidth="1"/>
    <col min="61" max="61" width="19.42578125" bestFit="1" customWidth="1"/>
    <col min="62" max="62" width="17.28515625" bestFit="1" customWidth="1"/>
    <col min="63" max="63" width="55.140625" bestFit="1" customWidth="1"/>
    <col min="64" max="64" width="4.85546875" bestFit="1" customWidth="1"/>
    <col min="65" max="65" width="5.7109375" bestFit="1" customWidth="1"/>
    <col min="66" max="66" width="14.7109375" bestFit="1" customWidth="1"/>
    <col min="67" max="67" width="14.28515625" bestFit="1" customWidth="1"/>
    <col min="68" max="68" width="19.7109375" bestFit="1" customWidth="1"/>
    <col min="69" max="69" width="12.42578125" bestFit="1" customWidth="1"/>
    <col min="70" max="70" width="27.7109375" bestFit="1" customWidth="1"/>
    <col min="71" max="71" width="9.42578125" bestFit="1" customWidth="1"/>
    <col min="72" max="72" width="20.42578125" bestFit="1" customWidth="1"/>
    <col min="73" max="73" width="22.28515625" bestFit="1" customWidth="1"/>
    <col min="74" max="74" width="20.7109375" bestFit="1" customWidth="1"/>
    <col min="75" max="75" width="37.7109375" bestFit="1" customWidth="1"/>
    <col min="76" max="76" width="73.28515625" bestFit="1" customWidth="1"/>
    <col min="77" max="77" width="22.7109375" bestFit="1" customWidth="1"/>
    <col min="78" max="78" width="29.42578125" bestFit="1" customWidth="1"/>
    <col min="79" max="79" width="28.28515625" bestFit="1" customWidth="1"/>
    <col min="80" max="80" width="58.7109375" bestFit="1" customWidth="1"/>
    <col min="81" max="81" width="34.28515625" bestFit="1" customWidth="1"/>
    <col min="82" max="82" width="19.7109375" bestFit="1" customWidth="1"/>
    <col min="83" max="83" width="21" bestFit="1" customWidth="1"/>
    <col min="84" max="84" width="18.28515625" bestFit="1" customWidth="1"/>
    <col min="85" max="85" width="55.140625" bestFit="1" customWidth="1"/>
    <col min="86" max="86" width="4.85546875" bestFit="1" customWidth="1"/>
    <col min="87" max="87" width="5.7109375" bestFit="1" customWidth="1"/>
    <col min="88" max="88" width="14" bestFit="1" customWidth="1"/>
    <col min="89" max="89" width="14.28515625" bestFit="1" customWidth="1"/>
    <col min="90" max="90" width="19.7109375" bestFit="1" customWidth="1"/>
    <col min="91" max="91" width="27.7109375" bestFit="1" customWidth="1"/>
    <col min="92" max="92" width="9.42578125" bestFit="1" customWidth="1"/>
    <col min="93" max="93" width="22.140625" bestFit="1" customWidth="1"/>
    <col min="94" max="94" width="23.85546875" bestFit="1" customWidth="1"/>
    <col min="95" max="95" width="17.5703125" bestFit="1" customWidth="1"/>
    <col min="96" max="96" width="32.28515625" bestFit="1" customWidth="1"/>
    <col min="97" max="97" width="70.42578125" bestFit="1" customWidth="1"/>
    <col min="98" max="98" width="22.140625" bestFit="1" customWidth="1"/>
    <col min="99" max="99" width="31.140625" bestFit="1" customWidth="1"/>
    <col min="100" max="100" width="29.42578125" bestFit="1" customWidth="1"/>
    <col min="101" max="101" width="58.7109375" bestFit="1" customWidth="1"/>
    <col min="102" max="102" width="21.5703125" bestFit="1" customWidth="1"/>
    <col min="103" max="103" width="31.140625" bestFit="1" customWidth="1"/>
    <col min="104" max="104" width="86.85546875" bestFit="1" customWidth="1"/>
    <col min="105" max="105" width="23.140625" bestFit="1" customWidth="1"/>
    <col min="106" max="106" width="31" bestFit="1" customWidth="1"/>
    <col min="107" max="107" width="43.5703125" bestFit="1" customWidth="1"/>
    <col min="108" max="108" width="45.28515625" bestFit="1" customWidth="1"/>
    <col min="109" max="109" width="33.42578125" bestFit="1" customWidth="1"/>
    <col min="110" max="110" width="44" bestFit="1" customWidth="1"/>
    <col min="111" max="111" width="49.140625" bestFit="1" customWidth="1"/>
    <col min="112" max="112" width="35.7109375" bestFit="1" customWidth="1"/>
    <col min="113" max="113" width="49.85546875" bestFit="1" customWidth="1"/>
    <col min="114" max="114" width="25" bestFit="1" customWidth="1"/>
    <col min="115" max="115" width="27.5703125" bestFit="1" customWidth="1"/>
    <col min="116" max="116" width="59.5703125" bestFit="1" customWidth="1"/>
    <col min="117" max="117" width="68.85546875" bestFit="1" customWidth="1"/>
    <col min="118" max="118" width="74" bestFit="1" customWidth="1"/>
    <col min="119" max="119" width="33.28515625" bestFit="1" customWidth="1"/>
    <col min="120" max="120" width="29.7109375" bestFit="1" customWidth="1"/>
    <col min="121" max="121" width="53.140625" bestFit="1" customWidth="1"/>
    <col min="122" max="122" width="27.5703125" bestFit="1" customWidth="1"/>
    <col min="123" max="123" width="17.85546875" bestFit="1" customWidth="1"/>
    <col min="124" max="124" width="56" bestFit="1" customWidth="1"/>
    <col min="125" max="125" width="13.42578125" bestFit="1" customWidth="1"/>
    <col min="126" max="126" width="25" bestFit="1" customWidth="1"/>
    <col min="127" max="127" width="34.7109375" bestFit="1" customWidth="1"/>
    <col min="128" max="128" width="32.42578125" bestFit="1" customWidth="1"/>
    <col min="129" max="129" width="38.7109375" bestFit="1" customWidth="1"/>
    <col min="130" max="130" width="44.5703125" bestFit="1" customWidth="1"/>
    <col min="131" max="131" width="55.28515625" bestFit="1" customWidth="1"/>
    <col min="132" max="132" width="30.85546875" bestFit="1" customWidth="1"/>
    <col min="133" max="133" width="45.7109375" bestFit="1" customWidth="1"/>
    <col min="134" max="134" width="218.7109375" bestFit="1" customWidth="1"/>
    <col min="135" max="135" width="119.28515625" bestFit="1" customWidth="1"/>
    <col min="136" max="136" width="255.7109375" bestFit="1" customWidth="1"/>
    <col min="137" max="137" width="146.7109375" bestFit="1" customWidth="1"/>
    <col min="138" max="138" width="104.85546875" bestFit="1" customWidth="1"/>
    <col min="139" max="139" width="47.7109375" bestFit="1" customWidth="1"/>
    <col min="140" max="140" width="63" bestFit="1" customWidth="1"/>
    <col min="141" max="141" width="59.140625" bestFit="1" customWidth="1"/>
    <col min="142" max="142" width="196.42578125" bestFit="1" customWidth="1"/>
    <col min="143" max="143" width="77.28515625" bestFit="1" customWidth="1"/>
    <col min="144" max="144" width="213.28515625" bestFit="1" customWidth="1"/>
    <col min="145" max="150" width="18.85546875" customWidth="1"/>
  </cols>
  <sheetData>
    <row r="1" spans="1:144" ht="28.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ht="22.5" customHeight="1" x14ac:dyDescent="0.2">
      <c r="A2" s="2">
        <v>46147.419647488423</v>
      </c>
      <c r="B2" s="3" t="s">
        <v>144</v>
      </c>
      <c r="C2" s="3" t="s">
        <v>145</v>
      </c>
      <c r="D2" s="3" t="s">
        <v>146</v>
      </c>
      <c r="E2" s="3" t="s">
        <v>147</v>
      </c>
      <c r="F2" s="3" t="s">
        <v>148</v>
      </c>
      <c r="G2" s="3" t="s">
        <v>149</v>
      </c>
      <c r="H2" s="3" t="s">
        <v>150</v>
      </c>
      <c r="I2" s="4">
        <v>41472</v>
      </c>
      <c r="J2" s="3" t="s">
        <v>151</v>
      </c>
      <c r="K2" s="3" t="s">
        <v>152</v>
      </c>
      <c r="L2" s="3" t="s">
        <v>153</v>
      </c>
      <c r="M2" s="3">
        <v>19</v>
      </c>
      <c r="N2" s="3">
        <v>1</v>
      </c>
      <c r="O2" s="3" t="s">
        <v>154</v>
      </c>
      <c r="P2" s="3" t="s">
        <v>155</v>
      </c>
      <c r="Q2" s="3" t="s">
        <v>156</v>
      </c>
      <c r="R2" s="3">
        <v>65143</v>
      </c>
      <c r="S2" s="3" t="s">
        <v>152</v>
      </c>
      <c r="T2" s="5" t="s">
        <v>157</v>
      </c>
      <c r="U2" s="3" t="s">
        <v>158</v>
      </c>
      <c r="V2" s="3" t="s">
        <v>159</v>
      </c>
      <c r="W2" s="3">
        <v>3</v>
      </c>
      <c r="X2" s="3">
        <v>3</v>
      </c>
      <c r="Y2" s="3" t="s">
        <v>152</v>
      </c>
      <c r="Z2" s="3" t="s">
        <v>152</v>
      </c>
      <c r="AA2" s="3" t="s">
        <v>160</v>
      </c>
      <c r="AB2" s="3" t="s">
        <v>161</v>
      </c>
      <c r="AC2" s="3" t="s">
        <v>162</v>
      </c>
      <c r="AD2" s="3" t="s">
        <v>163</v>
      </c>
      <c r="AE2" s="3">
        <v>63</v>
      </c>
      <c r="AF2" s="3">
        <v>155</v>
      </c>
      <c r="AG2" s="3" t="s">
        <v>164</v>
      </c>
      <c r="AH2" s="3" t="s">
        <v>165</v>
      </c>
      <c r="AI2" s="3" t="s">
        <v>166</v>
      </c>
      <c r="AJ2" s="3" t="s">
        <v>167</v>
      </c>
      <c r="AK2" s="3" t="s">
        <v>168</v>
      </c>
      <c r="AL2" s="3" t="s">
        <v>169</v>
      </c>
      <c r="AM2" s="4">
        <v>25585</v>
      </c>
      <c r="AN2" s="3" t="s">
        <v>170</v>
      </c>
      <c r="AO2" s="3" t="s">
        <v>153</v>
      </c>
      <c r="AP2" s="3">
        <v>19</v>
      </c>
      <c r="AQ2" s="3">
        <v>1</v>
      </c>
      <c r="AR2" s="3" t="s">
        <v>171</v>
      </c>
      <c r="AS2" s="3" t="s">
        <v>172</v>
      </c>
      <c r="AT2" s="3" t="s">
        <v>156</v>
      </c>
      <c r="AU2" s="3">
        <v>65143</v>
      </c>
      <c r="AV2" s="3" t="s">
        <v>161</v>
      </c>
      <c r="AW2" s="3" t="s">
        <v>173</v>
      </c>
      <c r="AX2" s="5" t="s">
        <v>157</v>
      </c>
      <c r="AY2" s="3" t="s">
        <v>174</v>
      </c>
      <c r="AZ2" s="3" t="s">
        <v>175</v>
      </c>
      <c r="BA2" s="3" t="s">
        <v>152</v>
      </c>
      <c r="BB2" s="3" t="s">
        <v>152</v>
      </c>
      <c r="BC2" s="3" t="s">
        <v>152</v>
      </c>
      <c r="BD2" s="3">
        <v>6000000</v>
      </c>
      <c r="BE2" s="3" t="s">
        <v>176</v>
      </c>
      <c r="BF2" s="3" t="s">
        <v>177</v>
      </c>
      <c r="BG2" s="3" t="s">
        <v>178</v>
      </c>
      <c r="BH2" s="3" t="s">
        <v>150</v>
      </c>
      <c r="BI2" s="4">
        <v>28446</v>
      </c>
      <c r="BJ2" s="3" t="s">
        <v>179</v>
      </c>
      <c r="BK2" s="3" t="s">
        <v>180</v>
      </c>
      <c r="BL2" s="3">
        <v>19</v>
      </c>
      <c r="BM2" s="3">
        <v>1</v>
      </c>
      <c r="BN2" s="3" t="s">
        <v>172</v>
      </c>
      <c r="BO2" s="3" t="s">
        <v>171</v>
      </c>
      <c r="BP2" s="3" t="s">
        <v>181</v>
      </c>
      <c r="BQ2" s="3">
        <v>65143</v>
      </c>
      <c r="BR2" s="3" t="s">
        <v>161</v>
      </c>
      <c r="BS2" s="3" t="s">
        <v>162</v>
      </c>
      <c r="BT2" s="5" t="s">
        <v>182</v>
      </c>
      <c r="BU2" s="3" t="s">
        <v>183</v>
      </c>
      <c r="BV2" s="3" t="s">
        <v>184</v>
      </c>
      <c r="BW2" s="3" t="s">
        <v>152</v>
      </c>
      <c r="BX2" s="3" t="s">
        <v>152</v>
      </c>
      <c r="BY2" s="3" t="s">
        <v>152</v>
      </c>
      <c r="BZ2" s="3" t="s">
        <v>152</v>
      </c>
      <c r="CA2" s="3" t="s">
        <v>144</v>
      </c>
      <c r="CB2" s="3" t="s">
        <v>185</v>
      </c>
      <c r="CC2" s="3" t="s">
        <v>152</v>
      </c>
      <c r="CD2" s="3" t="s">
        <v>152</v>
      </c>
      <c r="CE2" s="3"/>
      <c r="CF2" s="3" t="s">
        <v>152</v>
      </c>
      <c r="CG2" s="3" t="s">
        <v>152</v>
      </c>
      <c r="CH2" s="3" t="s">
        <v>152</v>
      </c>
      <c r="CI2" s="3" t="s">
        <v>152</v>
      </c>
      <c r="CJ2" s="3" t="s">
        <v>152</v>
      </c>
      <c r="CK2" s="3" t="s">
        <v>152</v>
      </c>
      <c r="CL2" s="3" t="s">
        <v>152</v>
      </c>
      <c r="CM2" s="3"/>
      <c r="CN2" s="3"/>
      <c r="CO2" s="3" t="s">
        <v>152</v>
      </c>
      <c r="CP2" s="3"/>
      <c r="CQ2" s="3" t="s">
        <v>152</v>
      </c>
      <c r="CR2" s="3" t="s">
        <v>152</v>
      </c>
      <c r="CS2" s="3" t="s">
        <v>152</v>
      </c>
      <c r="CT2" s="3" t="s">
        <v>152</v>
      </c>
      <c r="CU2" s="3" t="s">
        <v>152</v>
      </c>
      <c r="CV2" s="3" t="s">
        <v>152</v>
      </c>
      <c r="CW2" s="3" t="s">
        <v>152</v>
      </c>
      <c r="CX2" s="3" t="s">
        <v>186</v>
      </c>
      <c r="CY2" s="3" t="s">
        <v>187</v>
      </c>
      <c r="CZ2" s="3" t="s">
        <v>188</v>
      </c>
      <c r="DA2" s="3" t="s">
        <v>189</v>
      </c>
      <c r="DB2" s="3" t="s">
        <v>190</v>
      </c>
      <c r="DC2" s="3" t="s">
        <v>191</v>
      </c>
      <c r="DD2" s="3" t="s">
        <v>192</v>
      </c>
      <c r="DE2" s="3" t="s">
        <v>193</v>
      </c>
      <c r="DF2" s="3" t="s">
        <v>194</v>
      </c>
      <c r="DG2" s="3" t="s">
        <v>195</v>
      </c>
      <c r="DH2" s="3" t="s">
        <v>196</v>
      </c>
      <c r="DI2" s="3" t="s">
        <v>197</v>
      </c>
      <c r="DJ2" s="3" t="s">
        <v>198</v>
      </c>
      <c r="DK2" s="3" t="s">
        <v>199</v>
      </c>
      <c r="DL2" s="3" t="s">
        <v>200</v>
      </c>
      <c r="DM2" s="3" t="s">
        <v>201</v>
      </c>
      <c r="DN2" s="3" t="s">
        <v>202</v>
      </c>
      <c r="DO2" s="3" t="s">
        <v>203</v>
      </c>
      <c r="DP2" s="3" t="s">
        <v>204</v>
      </c>
      <c r="DQ2" s="3" t="s">
        <v>205</v>
      </c>
      <c r="DR2" s="3" t="s">
        <v>206</v>
      </c>
      <c r="DS2" s="3" t="s">
        <v>152</v>
      </c>
      <c r="DT2" s="3" t="s">
        <v>152</v>
      </c>
      <c r="DU2" s="3" t="s">
        <v>152</v>
      </c>
      <c r="DV2" s="3" t="s">
        <v>152</v>
      </c>
      <c r="DW2" s="3" t="s">
        <v>207</v>
      </c>
      <c r="DX2" s="3" t="s">
        <v>207</v>
      </c>
      <c r="DY2" s="3" t="s">
        <v>207</v>
      </c>
      <c r="DZ2" s="3" t="s">
        <v>201</v>
      </c>
      <c r="EA2" s="3" t="s">
        <v>208</v>
      </c>
      <c r="EB2" s="3" t="s">
        <v>193</v>
      </c>
      <c r="EC2" s="3" t="s">
        <v>209</v>
      </c>
      <c r="ED2" s="3" t="s">
        <v>210</v>
      </c>
      <c r="EE2" s="3" t="s">
        <v>211</v>
      </c>
      <c r="EF2" s="3" t="s">
        <v>212</v>
      </c>
      <c r="EG2" s="3" t="s">
        <v>213</v>
      </c>
      <c r="EH2" s="3" t="s">
        <v>214</v>
      </c>
      <c r="EI2" s="3" t="s">
        <v>215</v>
      </c>
      <c r="EJ2" s="3" t="s">
        <v>216</v>
      </c>
      <c r="EK2" s="3" t="s">
        <v>217</v>
      </c>
      <c r="EL2" s="3" t="s">
        <v>218</v>
      </c>
      <c r="EM2" s="3" t="s">
        <v>219</v>
      </c>
      <c r="EN2" s="3" t="s">
        <v>220</v>
      </c>
    </row>
    <row r="3" spans="1:144" ht="25.5" customHeight="1" x14ac:dyDescent="0.2">
      <c r="A3" s="2">
        <v>46148.635048530094</v>
      </c>
      <c r="B3" s="3" t="s">
        <v>221</v>
      </c>
      <c r="C3" s="3" t="s">
        <v>222</v>
      </c>
      <c r="D3" s="3" t="s">
        <v>223</v>
      </c>
      <c r="E3" s="3" t="s">
        <v>224</v>
      </c>
      <c r="F3" s="5" t="s">
        <v>225</v>
      </c>
      <c r="G3" s="3" t="s">
        <v>149</v>
      </c>
      <c r="H3" s="3" t="s">
        <v>226</v>
      </c>
      <c r="I3" s="4">
        <v>41674</v>
      </c>
      <c r="J3" s="3" t="s">
        <v>151</v>
      </c>
      <c r="K3" s="3" t="s">
        <v>152</v>
      </c>
      <c r="L3" s="3" t="s">
        <v>227</v>
      </c>
      <c r="M3" s="5" t="s">
        <v>228</v>
      </c>
      <c r="N3" s="5" t="s">
        <v>229</v>
      </c>
      <c r="O3" s="3" t="s">
        <v>230</v>
      </c>
      <c r="P3" s="3" t="s">
        <v>231</v>
      </c>
      <c r="Q3" s="3" t="s">
        <v>226</v>
      </c>
      <c r="R3" s="3">
        <v>65153</v>
      </c>
      <c r="S3" s="3" t="s">
        <v>152</v>
      </c>
      <c r="T3" s="5" t="s">
        <v>232</v>
      </c>
      <c r="U3" s="3" t="s">
        <v>233</v>
      </c>
      <c r="V3" s="3" t="s">
        <v>234</v>
      </c>
      <c r="W3" s="3">
        <v>1</v>
      </c>
      <c r="X3" s="3">
        <v>1</v>
      </c>
      <c r="Y3" s="3" t="s">
        <v>152</v>
      </c>
      <c r="Z3" s="3" t="s">
        <v>152</v>
      </c>
      <c r="AA3" s="3" t="s">
        <v>235</v>
      </c>
      <c r="AB3" s="3" t="s">
        <v>161</v>
      </c>
      <c r="AC3" s="3" t="s">
        <v>162</v>
      </c>
      <c r="AD3" s="3" t="s">
        <v>236</v>
      </c>
      <c r="AE3" s="3" t="s">
        <v>237</v>
      </c>
      <c r="AF3" s="3">
        <v>145</v>
      </c>
      <c r="AG3" s="3" t="s">
        <v>238</v>
      </c>
      <c r="AH3" s="3" t="s">
        <v>165</v>
      </c>
      <c r="AI3" s="3" t="s">
        <v>239</v>
      </c>
      <c r="AJ3" s="3" t="s">
        <v>167</v>
      </c>
      <c r="AK3" s="3" t="s">
        <v>240</v>
      </c>
      <c r="AL3" s="3" t="s">
        <v>241</v>
      </c>
      <c r="AM3" s="4">
        <v>30650</v>
      </c>
      <c r="AN3" s="3" t="s">
        <v>242</v>
      </c>
      <c r="AO3" s="3" t="s">
        <v>227</v>
      </c>
      <c r="AP3" s="5" t="s">
        <v>228</v>
      </c>
      <c r="AQ3" s="5" t="s">
        <v>229</v>
      </c>
      <c r="AR3" s="3" t="s">
        <v>230</v>
      </c>
      <c r="AS3" s="3" t="s">
        <v>231</v>
      </c>
      <c r="AT3" s="3" t="s">
        <v>226</v>
      </c>
      <c r="AU3" s="3">
        <v>65153</v>
      </c>
      <c r="AV3" s="3" t="s">
        <v>161</v>
      </c>
      <c r="AW3" s="3" t="s">
        <v>162</v>
      </c>
      <c r="AX3" s="5" t="s">
        <v>243</v>
      </c>
      <c r="AY3" s="3" t="s">
        <v>183</v>
      </c>
      <c r="AZ3" s="3" t="s">
        <v>244</v>
      </c>
      <c r="BA3" s="3" t="s">
        <v>245</v>
      </c>
      <c r="BB3" s="3" t="s">
        <v>246</v>
      </c>
      <c r="BC3" s="3" t="s">
        <v>247</v>
      </c>
      <c r="BD3" s="3" t="s">
        <v>248</v>
      </c>
      <c r="BE3" s="3" t="s">
        <v>249</v>
      </c>
      <c r="BF3" s="3" t="s">
        <v>250</v>
      </c>
      <c r="BG3" s="3" t="s">
        <v>251</v>
      </c>
      <c r="BH3" s="3" t="s">
        <v>252</v>
      </c>
      <c r="BI3" s="4">
        <v>32995</v>
      </c>
      <c r="BJ3" s="3" t="s">
        <v>253</v>
      </c>
      <c r="BK3" s="3" t="s">
        <v>227</v>
      </c>
      <c r="BL3" s="5" t="s">
        <v>228</v>
      </c>
      <c r="BM3" s="5" t="s">
        <v>229</v>
      </c>
      <c r="BN3" s="3" t="s">
        <v>230</v>
      </c>
      <c r="BO3" s="3" t="s">
        <v>231</v>
      </c>
      <c r="BP3" s="3" t="s">
        <v>226</v>
      </c>
      <c r="BQ3" s="3">
        <v>65153</v>
      </c>
      <c r="BR3" s="3" t="s">
        <v>161</v>
      </c>
      <c r="BS3" s="3" t="s">
        <v>162</v>
      </c>
      <c r="BT3" s="5" t="s">
        <v>232</v>
      </c>
      <c r="BU3" s="3" t="s">
        <v>183</v>
      </c>
      <c r="BV3" s="3" t="s">
        <v>244</v>
      </c>
      <c r="BW3" s="3" t="s">
        <v>254</v>
      </c>
      <c r="BX3" s="3" t="s">
        <v>255</v>
      </c>
      <c r="BY3" s="3" t="s">
        <v>256</v>
      </c>
      <c r="BZ3" s="3" t="s">
        <v>257</v>
      </c>
      <c r="CA3" s="3" t="s">
        <v>221</v>
      </c>
      <c r="CB3" s="3" t="s">
        <v>258</v>
      </c>
      <c r="CC3" s="3"/>
      <c r="CD3" s="3"/>
      <c r="CE3" s="3"/>
      <c r="CF3" s="3"/>
      <c r="CG3" s="3"/>
      <c r="CH3" s="3"/>
      <c r="CI3" s="3"/>
      <c r="CJ3" s="3"/>
      <c r="CK3" s="3"/>
      <c r="CL3" s="3"/>
      <c r="CM3" s="3"/>
      <c r="CN3" s="3"/>
      <c r="CO3" s="3"/>
      <c r="CP3" s="3"/>
      <c r="CQ3" s="3"/>
      <c r="CR3" s="3"/>
      <c r="CS3" s="3"/>
      <c r="CT3" s="3"/>
      <c r="CU3" s="3"/>
      <c r="CV3" s="3"/>
      <c r="CW3" s="3"/>
      <c r="CX3" s="3" t="s">
        <v>186</v>
      </c>
      <c r="CY3" s="3" t="s">
        <v>259</v>
      </c>
      <c r="CZ3" s="3" t="s">
        <v>260</v>
      </c>
      <c r="DA3" s="3" t="s">
        <v>261</v>
      </c>
      <c r="DB3" s="3" t="s">
        <v>190</v>
      </c>
      <c r="DC3" s="3" t="s">
        <v>262</v>
      </c>
      <c r="DD3" s="3" t="s">
        <v>152</v>
      </c>
      <c r="DE3" s="3" t="s">
        <v>193</v>
      </c>
      <c r="DF3" s="3" t="s">
        <v>195</v>
      </c>
      <c r="DG3" s="3" t="s">
        <v>263</v>
      </c>
      <c r="DH3" s="3" t="s">
        <v>196</v>
      </c>
      <c r="DI3" s="3" t="s">
        <v>264</v>
      </c>
      <c r="DJ3" s="3" t="s">
        <v>198</v>
      </c>
      <c r="DK3" s="3" t="s">
        <v>199</v>
      </c>
      <c r="DL3" s="3" t="s">
        <v>201</v>
      </c>
      <c r="DM3" s="3" t="s">
        <v>265</v>
      </c>
      <c r="DN3" s="3" t="s">
        <v>202</v>
      </c>
      <c r="DO3" s="3" t="s">
        <v>203</v>
      </c>
      <c r="DP3" s="3" t="s">
        <v>204</v>
      </c>
      <c r="DQ3" s="3" t="s">
        <v>266</v>
      </c>
      <c r="DR3" s="3" t="s">
        <v>267</v>
      </c>
      <c r="DS3" s="3" t="s">
        <v>152</v>
      </c>
      <c r="DT3" s="3" t="s">
        <v>152</v>
      </c>
      <c r="DU3" s="3" t="s">
        <v>152</v>
      </c>
      <c r="DV3" s="3" t="s">
        <v>152</v>
      </c>
      <c r="DW3" s="3" t="s">
        <v>207</v>
      </c>
      <c r="DX3" s="3" t="s">
        <v>207</v>
      </c>
      <c r="DY3" s="3" t="s">
        <v>207</v>
      </c>
      <c r="DZ3" s="3" t="s">
        <v>207</v>
      </c>
      <c r="EA3" s="3" t="s">
        <v>268</v>
      </c>
      <c r="EB3" s="3" t="s">
        <v>193</v>
      </c>
      <c r="EC3" s="3" t="s">
        <v>269</v>
      </c>
      <c r="ED3" s="3" t="s">
        <v>270</v>
      </c>
      <c r="EE3" s="3" t="s">
        <v>271</v>
      </c>
      <c r="EF3" s="3" t="s">
        <v>272</v>
      </c>
      <c r="EG3" s="3" t="s">
        <v>273</v>
      </c>
      <c r="EH3" s="3" t="s">
        <v>274</v>
      </c>
      <c r="EI3" s="3" t="s">
        <v>275</v>
      </c>
      <c r="EJ3" s="3" t="s">
        <v>276</v>
      </c>
      <c r="EK3" s="3" t="s">
        <v>277</v>
      </c>
      <c r="EL3" s="3" t="s">
        <v>278</v>
      </c>
      <c r="EM3" s="3" t="s">
        <v>279</v>
      </c>
      <c r="EN3" s="3" t="s">
        <v>280</v>
      </c>
    </row>
    <row r="4" spans="1:144" ht="22.5" customHeight="1" x14ac:dyDescent="0.2">
      <c r="A4" s="2">
        <v>46148.909886620371</v>
      </c>
      <c r="B4" s="3" t="s">
        <v>281</v>
      </c>
      <c r="C4" s="3" t="s">
        <v>282</v>
      </c>
      <c r="D4" s="3" t="s">
        <v>283</v>
      </c>
      <c r="E4" s="3" t="s">
        <v>284</v>
      </c>
      <c r="F4" s="3" t="s">
        <v>285</v>
      </c>
      <c r="G4" s="3" t="s">
        <v>286</v>
      </c>
      <c r="H4" s="3" t="s">
        <v>226</v>
      </c>
      <c r="I4" s="4">
        <v>41258</v>
      </c>
      <c r="J4" s="3" t="s">
        <v>287</v>
      </c>
      <c r="K4" s="3" t="s">
        <v>288</v>
      </c>
      <c r="L4" s="3" t="s">
        <v>289</v>
      </c>
      <c r="M4" s="3">
        <v>3</v>
      </c>
      <c r="N4" s="3">
        <v>12</v>
      </c>
      <c r="O4" s="3" t="s">
        <v>290</v>
      </c>
      <c r="P4" s="3" t="s">
        <v>155</v>
      </c>
      <c r="Q4" s="3" t="s">
        <v>156</v>
      </c>
      <c r="R4" s="3">
        <v>65144</v>
      </c>
      <c r="S4" s="5" t="s">
        <v>291</v>
      </c>
      <c r="T4" s="5" t="s">
        <v>291</v>
      </c>
      <c r="U4" s="3" t="s">
        <v>292</v>
      </c>
      <c r="V4" s="3" t="s">
        <v>293</v>
      </c>
      <c r="W4" s="3">
        <v>4</v>
      </c>
      <c r="X4" s="3">
        <v>3</v>
      </c>
      <c r="Y4" s="3"/>
      <c r="Z4" s="3"/>
      <c r="AA4" s="3" t="s">
        <v>294</v>
      </c>
      <c r="AB4" s="3" t="s">
        <v>161</v>
      </c>
      <c r="AC4" s="3" t="s">
        <v>162</v>
      </c>
      <c r="AD4" s="3" t="s">
        <v>236</v>
      </c>
      <c r="AE4" s="3">
        <v>50</v>
      </c>
      <c r="AF4" s="3">
        <v>163</v>
      </c>
      <c r="AG4" s="3" t="s">
        <v>164</v>
      </c>
      <c r="AH4" s="3" t="s">
        <v>295</v>
      </c>
      <c r="AI4" s="3" t="s">
        <v>166</v>
      </c>
      <c r="AJ4" s="3" t="s">
        <v>167</v>
      </c>
      <c r="AK4" s="3" t="s">
        <v>296</v>
      </c>
      <c r="AL4" s="3" t="s">
        <v>150</v>
      </c>
      <c r="AM4" s="4">
        <v>24521</v>
      </c>
      <c r="AN4" s="3" t="s">
        <v>297</v>
      </c>
      <c r="AO4" s="3" t="s">
        <v>298</v>
      </c>
      <c r="AP4" s="3">
        <v>3</v>
      </c>
      <c r="AQ4" s="3">
        <v>12</v>
      </c>
      <c r="AR4" s="3" t="s">
        <v>290</v>
      </c>
      <c r="AS4" s="3" t="s">
        <v>155</v>
      </c>
      <c r="AT4" s="3" t="s">
        <v>156</v>
      </c>
      <c r="AU4" s="3">
        <v>65144</v>
      </c>
      <c r="AV4" s="3" t="s">
        <v>161</v>
      </c>
      <c r="AW4" s="3" t="s">
        <v>173</v>
      </c>
      <c r="AX4" s="5" t="s">
        <v>299</v>
      </c>
      <c r="AY4" s="3" t="s">
        <v>300</v>
      </c>
      <c r="AZ4" s="3" t="s">
        <v>301</v>
      </c>
      <c r="BA4" s="3" t="s">
        <v>302</v>
      </c>
      <c r="BB4" s="3" t="s">
        <v>303</v>
      </c>
      <c r="BC4" s="3" t="s">
        <v>304</v>
      </c>
      <c r="BD4" s="3" t="s">
        <v>305</v>
      </c>
      <c r="BE4" s="3" t="s">
        <v>306</v>
      </c>
      <c r="BF4" s="3" t="s">
        <v>307</v>
      </c>
      <c r="BG4" s="3" t="s">
        <v>293</v>
      </c>
      <c r="BH4" s="3" t="s">
        <v>150</v>
      </c>
      <c r="BI4" s="4">
        <v>27762</v>
      </c>
      <c r="BJ4" s="3" t="s">
        <v>308</v>
      </c>
      <c r="BK4" s="3" t="s">
        <v>298</v>
      </c>
      <c r="BL4" s="3">
        <v>3</v>
      </c>
      <c r="BM4" s="3">
        <v>12</v>
      </c>
      <c r="BN4" s="3" t="s">
        <v>290</v>
      </c>
      <c r="BO4" s="3" t="s">
        <v>155</v>
      </c>
      <c r="BP4" s="3" t="s">
        <v>156</v>
      </c>
      <c r="BQ4" s="3">
        <v>65144</v>
      </c>
      <c r="BR4" s="3" t="s">
        <v>161</v>
      </c>
      <c r="BS4" s="3" t="s">
        <v>162</v>
      </c>
      <c r="BT4" s="5" t="s">
        <v>291</v>
      </c>
      <c r="BU4" s="3" t="s">
        <v>309</v>
      </c>
      <c r="BV4" s="3" t="s">
        <v>310</v>
      </c>
      <c r="BW4" s="3" t="s">
        <v>302</v>
      </c>
      <c r="BX4" s="3" t="s">
        <v>303</v>
      </c>
      <c r="BY4" s="3" t="s">
        <v>304</v>
      </c>
      <c r="BZ4" s="3" t="s">
        <v>305</v>
      </c>
      <c r="CA4" s="3" t="s">
        <v>311</v>
      </c>
      <c r="CB4" s="3" t="s">
        <v>312</v>
      </c>
      <c r="CC4" s="3" t="s">
        <v>313</v>
      </c>
      <c r="CD4" s="3" t="s">
        <v>150</v>
      </c>
      <c r="CE4" s="4">
        <v>24521</v>
      </c>
      <c r="CF4" s="3" t="s">
        <v>297</v>
      </c>
      <c r="CG4" s="3" t="s">
        <v>298</v>
      </c>
      <c r="CH4" s="3">
        <v>3</v>
      </c>
      <c r="CI4" s="3">
        <v>12</v>
      </c>
      <c r="CJ4" s="3" t="s">
        <v>290</v>
      </c>
      <c r="CK4" s="3" t="s">
        <v>155</v>
      </c>
      <c r="CL4" s="3" t="s">
        <v>156</v>
      </c>
      <c r="CM4" s="3" t="s">
        <v>161</v>
      </c>
      <c r="CN4" s="3" t="s">
        <v>162</v>
      </c>
      <c r="CO4" s="5" t="s">
        <v>299</v>
      </c>
      <c r="CP4" s="3" t="s">
        <v>300</v>
      </c>
      <c r="CQ4" s="3" t="s">
        <v>301</v>
      </c>
      <c r="CR4" s="3" t="s">
        <v>302</v>
      </c>
      <c r="CS4" s="3" t="s">
        <v>303</v>
      </c>
      <c r="CT4" s="3" t="s">
        <v>304</v>
      </c>
      <c r="CU4" s="3" t="s">
        <v>305</v>
      </c>
      <c r="CV4" s="3" t="s">
        <v>306</v>
      </c>
      <c r="CW4" s="3" t="s">
        <v>307</v>
      </c>
      <c r="CX4" s="3" t="s">
        <v>186</v>
      </c>
      <c r="CY4" s="3" t="s">
        <v>259</v>
      </c>
      <c r="CZ4" s="3" t="s">
        <v>314</v>
      </c>
      <c r="DA4" s="3" t="s">
        <v>315</v>
      </c>
      <c r="DB4" s="3" t="s">
        <v>190</v>
      </c>
      <c r="DC4" s="3" t="s">
        <v>316</v>
      </c>
      <c r="DD4" s="3" t="s">
        <v>317</v>
      </c>
      <c r="DE4" s="3" t="s">
        <v>193</v>
      </c>
      <c r="DF4" s="3" t="s">
        <v>318</v>
      </c>
      <c r="DG4" s="3" t="s">
        <v>319</v>
      </c>
      <c r="DH4" s="3" t="s">
        <v>196</v>
      </c>
      <c r="DI4" s="3" t="s">
        <v>320</v>
      </c>
      <c r="DJ4" s="3" t="s">
        <v>321</v>
      </c>
      <c r="DK4" s="3" t="s">
        <v>199</v>
      </c>
      <c r="DL4" s="3" t="s">
        <v>322</v>
      </c>
      <c r="DM4" s="3" t="s">
        <v>265</v>
      </c>
      <c r="DN4" s="3" t="s">
        <v>323</v>
      </c>
      <c r="DO4" s="3" t="s">
        <v>324</v>
      </c>
      <c r="DP4" s="3" t="s">
        <v>204</v>
      </c>
      <c r="DQ4" s="3" t="s">
        <v>205</v>
      </c>
      <c r="DR4" s="3" t="s">
        <v>325</v>
      </c>
      <c r="DS4" s="3" t="s">
        <v>326</v>
      </c>
      <c r="DT4" s="3" t="s">
        <v>327</v>
      </c>
      <c r="DU4" s="3" t="s">
        <v>327</v>
      </c>
      <c r="DV4" s="3" t="s">
        <v>327</v>
      </c>
      <c r="DW4" s="3" t="s">
        <v>207</v>
      </c>
      <c r="DX4" s="3" t="s">
        <v>207</v>
      </c>
      <c r="DY4" s="3" t="s">
        <v>207</v>
      </c>
      <c r="DZ4" s="3" t="s">
        <v>207</v>
      </c>
      <c r="EA4" s="3" t="s">
        <v>208</v>
      </c>
      <c r="EB4" s="3" t="s">
        <v>193</v>
      </c>
      <c r="EC4" s="3" t="s">
        <v>269</v>
      </c>
      <c r="ED4" s="3" t="s">
        <v>328</v>
      </c>
      <c r="EE4" s="3" t="s">
        <v>329</v>
      </c>
      <c r="EF4" s="3" t="s">
        <v>330</v>
      </c>
      <c r="EG4" s="3" t="s">
        <v>331</v>
      </c>
      <c r="EH4" s="3" t="s">
        <v>332</v>
      </c>
      <c r="EI4" s="3" t="s">
        <v>333</v>
      </c>
      <c r="EJ4" s="3" t="s">
        <v>334</v>
      </c>
      <c r="EK4" s="3" t="s">
        <v>335</v>
      </c>
      <c r="EL4" s="3" t="s">
        <v>336</v>
      </c>
      <c r="EM4" s="3" t="s">
        <v>337</v>
      </c>
      <c r="EN4" s="3" t="s">
        <v>338</v>
      </c>
    </row>
    <row r="5" spans="1:144" ht="25.5" customHeight="1" x14ac:dyDescent="0.2">
      <c r="A5" s="2">
        <v>46149.555882627319</v>
      </c>
      <c r="B5" s="3" t="s">
        <v>339</v>
      </c>
      <c r="C5" s="3" t="s">
        <v>340</v>
      </c>
      <c r="D5" s="3" t="s">
        <v>341</v>
      </c>
      <c r="E5" s="3" t="s">
        <v>342</v>
      </c>
      <c r="F5" s="3" t="s">
        <v>343</v>
      </c>
      <c r="G5" s="3" t="s">
        <v>149</v>
      </c>
      <c r="H5" s="3" t="s">
        <v>150</v>
      </c>
      <c r="I5" s="4">
        <v>41480</v>
      </c>
      <c r="J5" s="3" t="s">
        <v>287</v>
      </c>
      <c r="K5" s="3" t="s">
        <v>344</v>
      </c>
      <c r="L5" s="3" t="s">
        <v>345</v>
      </c>
      <c r="M5" s="5" t="s">
        <v>346</v>
      </c>
      <c r="N5" s="5" t="s">
        <v>347</v>
      </c>
      <c r="O5" s="3" t="s">
        <v>348</v>
      </c>
      <c r="P5" s="3" t="s">
        <v>155</v>
      </c>
      <c r="Q5" s="3" t="s">
        <v>150</v>
      </c>
      <c r="R5" s="3">
        <v>65144</v>
      </c>
      <c r="S5" s="3">
        <v>0</v>
      </c>
      <c r="T5" s="5" t="s">
        <v>349</v>
      </c>
      <c r="U5" s="3" t="s">
        <v>350</v>
      </c>
      <c r="V5" s="3" t="s">
        <v>351</v>
      </c>
      <c r="W5" s="3" t="s">
        <v>352</v>
      </c>
      <c r="X5" s="3">
        <v>2</v>
      </c>
      <c r="Y5" s="3"/>
      <c r="Z5" s="3"/>
      <c r="AA5" s="3" t="s">
        <v>160</v>
      </c>
      <c r="AB5" s="3" t="s">
        <v>161</v>
      </c>
      <c r="AC5" s="3" t="s">
        <v>162</v>
      </c>
      <c r="AD5" s="3" t="s">
        <v>353</v>
      </c>
      <c r="AE5" s="3" t="s">
        <v>354</v>
      </c>
      <c r="AF5" s="3" t="s">
        <v>355</v>
      </c>
      <c r="AG5" s="3" t="s">
        <v>164</v>
      </c>
      <c r="AH5" s="3" t="s">
        <v>295</v>
      </c>
      <c r="AI5" s="3" t="s">
        <v>239</v>
      </c>
      <c r="AJ5" s="3" t="s">
        <v>167</v>
      </c>
      <c r="AK5" s="3" t="s">
        <v>356</v>
      </c>
      <c r="AL5" s="3" t="s">
        <v>150</v>
      </c>
      <c r="AM5" s="4">
        <v>31999</v>
      </c>
      <c r="AN5" s="3" t="s">
        <v>357</v>
      </c>
      <c r="AO5" s="3" t="s">
        <v>345</v>
      </c>
      <c r="AP5" s="5" t="s">
        <v>346</v>
      </c>
      <c r="AQ5" s="5" t="s">
        <v>347</v>
      </c>
      <c r="AR5" s="3" t="s">
        <v>348</v>
      </c>
      <c r="AS5" s="3" t="s">
        <v>155</v>
      </c>
      <c r="AT5" s="3" t="s">
        <v>150</v>
      </c>
      <c r="AU5" s="3">
        <v>65144</v>
      </c>
      <c r="AV5" s="3" t="s">
        <v>161</v>
      </c>
      <c r="AW5" s="3" t="s">
        <v>173</v>
      </c>
      <c r="AX5" s="5" t="s">
        <v>358</v>
      </c>
      <c r="AY5" s="3" t="s">
        <v>183</v>
      </c>
      <c r="AZ5" s="3" t="s">
        <v>359</v>
      </c>
      <c r="BA5" s="3" t="s">
        <v>360</v>
      </c>
      <c r="BB5" s="3" t="s">
        <v>361</v>
      </c>
      <c r="BC5" s="3"/>
      <c r="BD5" s="3" t="s">
        <v>362</v>
      </c>
      <c r="BE5" s="3" t="s">
        <v>363</v>
      </c>
      <c r="BF5" s="3"/>
      <c r="BG5" s="3" t="s">
        <v>351</v>
      </c>
      <c r="BH5" s="3" t="s">
        <v>150</v>
      </c>
      <c r="BI5" s="4">
        <v>31832</v>
      </c>
      <c r="BJ5" s="3" t="s">
        <v>364</v>
      </c>
      <c r="BK5" s="3" t="s">
        <v>345</v>
      </c>
      <c r="BL5" s="5" t="s">
        <v>346</v>
      </c>
      <c r="BM5" s="5" t="s">
        <v>347</v>
      </c>
      <c r="BN5" s="3" t="s">
        <v>348</v>
      </c>
      <c r="BO5" s="3" t="s">
        <v>155</v>
      </c>
      <c r="BP5" s="3" t="s">
        <v>150</v>
      </c>
      <c r="BQ5" s="3">
        <v>65144</v>
      </c>
      <c r="BR5" s="3" t="s">
        <v>161</v>
      </c>
      <c r="BS5" s="3" t="s">
        <v>162</v>
      </c>
      <c r="BT5" s="5" t="s">
        <v>349</v>
      </c>
      <c r="BU5" s="3" t="s">
        <v>309</v>
      </c>
      <c r="BV5" s="3" t="s">
        <v>365</v>
      </c>
      <c r="BW5" s="3" t="s">
        <v>152</v>
      </c>
      <c r="BX5" s="3" t="s">
        <v>152</v>
      </c>
      <c r="BY5" s="3"/>
      <c r="BZ5" s="3" t="s">
        <v>152</v>
      </c>
      <c r="CA5" s="3" t="s">
        <v>339</v>
      </c>
      <c r="CB5" s="3"/>
      <c r="CC5" s="3"/>
      <c r="CD5" s="3"/>
      <c r="CE5" s="3"/>
      <c r="CF5" s="3"/>
      <c r="CG5" s="3"/>
      <c r="CH5" s="3"/>
      <c r="CI5" s="3"/>
      <c r="CJ5" s="3"/>
      <c r="CK5" s="3"/>
      <c r="CL5" s="3"/>
      <c r="CM5" s="3"/>
      <c r="CN5" s="3"/>
      <c r="CO5" s="3"/>
      <c r="CP5" s="3"/>
      <c r="CQ5" s="3"/>
      <c r="CR5" s="3"/>
      <c r="CS5" s="3"/>
      <c r="CT5" s="3"/>
      <c r="CU5" s="3"/>
      <c r="CV5" s="3"/>
      <c r="CW5" s="3"/>
      <c r="CX5" s="3" t="s">
        <v>186</v>
      </c>
      <c r="CY5" s="3" t="s">
        <v>366</v>
      </c>
      <c r="CZ5" s="3" t="s">
        <v>367</v>
      </c>
      <c r="DA5" s="3" t="s">
        <v>189</v>
      </c>
      <c r="DB5" s="3" t="s">
        <v>190</v>
      </c>
      <c r="DC5" s="3" t="s">
        <v>368</v>
      </c>
      <c r="DD5" s="3" t="s">
        <v>369</v>
      </c>
      <c r="DE5" s="3" t="s">
        <v>193</v>
      </c>
      <c r="DF5" s="3" t="s">
        <v>195</v>
      </c>
      <c r="DG5" s="3" t="s">
        <v>370</v>
      </c>
      <c r="DH5" s="3" t="s">
        <v>196</v>
      </c>
      <c r="DI5" s="3" t="s">
        <v>371</v>
      </c>
      <c r="DJ5" s="3" t="s">
        <v>198</v>
      </c>
      <c r="DK5" s="3" t="s">
        <v>199</v>
      </c>
      <c r="DL5" s="3" t="s">
        <v>201</v>
      </c>
      <c r="DM5" s="3" t="s">
        <v>265</v>
      </c>
      <c r="DN5" s="3" t="s">
        <v>372</v>
      </c>
      <c r="DO5" s="3" t="s">
        <v>203</v>
      </c>
      <c r="DP5" s="3" t="s">
        <v>204</v>
      </c>
      <c r="DQ5" s="3" t="s">
        <v>373</v>
      </c>
      <c r="DR5" s="3" t="s">
        <v>206</v>
      </c>
      <c r="DS5" s="3" t="s">
        <v>374</v>
      </c>
      <c r="DT5" s="3" t="s">
        <v>375</v>
      </c>
      <c r="DU5" s="3" t="s">
        <v>374</v>
      </c>
      <c r="DV5" s="3" t="s">
        <v>374</v>
      </c>
      <c r="DW5" s="3" t="s">
        <v>201</v>
      </c>
      <c r="DX5" s="3" t="s">
        <v>207</v>
      </c>
      <c r="DY5" s="3" t="s">
        <v>201</v>
      </c>
      <c r="DZ5" s="3" t="s">
        <v>201</v>
      </c>
      <c r="EA5" s="3" t="s">
        <v>268</v>
      </c>
      <c r="EB5" s="3" t="s">
        <v>201</v>
      </c>
      <c r="EC5" s="3" t="s">
        <v>376</v>
      </c>
      <c r="ED5" s="3" t="s">
        <v>377</v>
      </c>
      <c r="EE5" s="3" t="s">
        <v>378</v>
      </c>
      <c r="EF5" s="3" t="s">
        <v>379</v>
      </c>
      <c r="EG5" s="3" t="s">
        <v>380</v>
      </c>
      <c r="EH5" s="3" t="s">
        <v>381</v>
      </c>
      <c r="EI5" s="3" t="s">
        <v>382</v>
      </c>
      <c r="EJ5" s="3" t="s">
        <v>383</v>
      </c>
      <c r="EK5" s="3" t="s">
        <v>384</v>
      </c>
      <c r="EL5" s="3" t="s">
        <v>385</v>
      </c>
      <c r="EM5" s="5" t="s">
        <v>349</v>
      </c>
      <c r="EN5" s="3" t="s">
        <v>386</v>
      </c>
    </row>
    <row r="6" spans="1:144" ht="24.75" customHeight="1" x14ac:dyDescent="0.2">
      <c r="A6" s="2">
        <v>46154.803398564814</v>
      </c>
      <c r="B6" s="3" t="s">
        <v>387</v>
      </c>
      <c r="C6" s="3" t="s">
        <v>388</v>
      </c>
      <c r="D6" s="3" t="s">
        <v>389</v>
      </c>
      <c r="E6" s="3" t="s">
        <v>390</v>
      </c>
      <c r="F6" s="3" t="s">
        <v>391</v>
      </c>
      <c r="G6" s="3" t="s">
        <v>149</v>
      </c>
      <c r="H6" s="3" t="s">
        <v>150</v>
      </c>
      <c r="I6" s="4">
        <v>41669</v>
      </c>
      <c r="J6" s="3" t="s">
        <v>151</v>
      </c>
      <c r="K6" s="3"/>
      <c r="L6" s="3" t="s">
        <v>392</v>
      </c>
      <c r="M6" s="5" t="s">
        <v>393</v>
      </c>
      <c r="N6" s="5" t="s">
        <v>394</v>
      </c>
      <c r="O6" s="3" t="s">
        <v>395</v>
      </c>
      <c r="P6" s="3" t="s">
        <v>155</v>
      </c>
      <c r="Q6" s="3" t="s">
        <v>150</v>
      </c>
      <c r="R6" s="3">
        <v>65141</v>
      </c>
      <c r="S6" s="5" t="s">
        <v>396</v>
      </c>
      <c r="T6" s="5" t="s">
        <v>396</v>
      </c>
      <c r="U6" s="3" t="s">
        <v>397</v>
      </c>
      <c r="V6" s="3" t="s">
        <v>398</v>
      </c>
      <c r="W6" s="3">
        <v>1</v>
      </c>
      <c r="X6" s="3" t="s">
        <v>326</v>
      </c>
      <c r="Y6" s="3" t="s">
        <v>326</v>
      </c>
      <c r="Z6" s="3" t="s">
        <v>326</v>
      </c>
      <c r="AA6" s="3" t="s">
        <v>399</v>
      </c>
      <c r="AB6" s="3" t="s">
        <v>161</v>
      </c>
      <c r="AC6" s="3" t="s">
        <v>162</v>
      </c>
      <c r="AD6" s="3" t="s">
        <v>400</v>
      </c>
      <c r="AE6" s="3">
        <v>60</v>
      </c>
      <c r="AF6" s="3">
        <v>145</v>
      </c>
      <c r="AG6" s="3" t="s">
        <v>238</v>
      </c>
      <c r="AH6" s="3" t="s">
        <v>295</v>
      </c>
      <c r="AI6" s="3" t="s">
        <v>239</v>
      </c>
      <c r="AJ6" s="3" t="s">
        <v>401</v>
      </c>
      <c r="AK6" s="3" t="s">
        <v>397</v>
      </c>
      <c r="AL6" s="3" t="s">
        <v>402</v>
      </c>
      <c r="AM6" s="4">
        <v>28858</v>
      </c>
      <c r="AN6" s="3" t="s">
        <v>403</v>
      </c>
      <c r="AO6" s="3" t="s">
        <v>404</v>
      </c>
      <c r="AP6" s="5" t="s">
        <v>393</v>
      </c>
      <c r="AQ6" s="5" t="s">
        <v>394</v>
      </c>
      <c r="AR6" s="3" t="s">
        <v>395</v>
      </c>
      <c r="AS6" s="3" t="s">
        <v>155</v>
      </c>
      <c r="AT6" s="3" t="s">
        <v>150</v>
      </c>
      <c r="AU6" s="3">
        <v>65141</v>
      </c>
      <c r="AV6" s="3" t="s">
        <v>161</v>
      </c>
      <c r="AW6" s="3" t="s">
        <v>173</v>
      </c>
      <c r="AX6" s="5" t="s">
        <v>405</v>
      </c>
      <c r="AY6" s="3" t="s">
        <v>183</v>
      </c>
      <c r="AZ6" s="3" t="s">
        <v>406</v>
      </c>
      <c r="BA6" s="3" t="s">
        <v>407</v>
      </c>
      <c r="BB6" s="3" t="s">
        <v>408</v>
      </c>
      <c r="BC6" s="3"/>
      <c r="BD6" s="3" t="s">
        <v>409</v>
      </c>
      <c r="BE6" s="3" t="s">
        <v>410</v>
      </c>
      <c r="BF6" s="3" t="s">
        <v>411</v>
      </c>
      <c r="BG6" s="3" t="s">
        <v>398</v>
      </c>
      <c r="BH6" s="3" t="s">
        <v>412</v>
      </c>
      <c r="BI6" s="4">
        <v>30256</v>
      </c>
      <c r="BJ6" s="3" t="s">
        <v>413</v>
      </c>
      <c r="BK6" s="3" t="s">
        <v>404</v>
      </c>
      <c r="BL6" s="5" t="s">
        <v>393</v>
      </c>
      <c r="BM6" s="5" t="s">
        <v>394</v>
      </c>
      <c r="BN6" s="3" t="s">
        <v>395</v>
      </c>
      <c r="BO6" s="3" t="s">
        <v>155</v>
      </c>
      <c r="BP6" s="3" t="s">
        <v>150</v>
      </c>
      <c r="BQ6" s="3">
        <v>65141</v>
      </c>
      <c r="BR6" s="3" t="s">
        <v>161</v>
      </c>
      <c r="BS6" s="3" t="s">
        <v>162</v>
      </c>
      <c r="BT6" s="5" t="s">
        <v>396</v>
      </c>
      <c r="BU6" s="3" t="s">
        <v>183</v>
      </c>
      <c r="BV6" s="3" t="s">
        <v>414</v>
      </c>
      <c r="BW6" s="3" t="s">
        <v>184</v>
      </c>
      <c r="BX6" s="3" t="s">
        <v>415</v>
      </c>
      <c r="BY6" s="3"/>
      <c r="BZ6" s="3" t="s">
        <v>416</v>
      </c>
      <c r="CA6" s="3" t="s">
        <v>387</v>
      </c>
      <c r="CB6" s="3" t="s">
        <v>417</v>
      </c>
      <c r="CC6" s="3"/>
      <c r="CD6" s="3"/>
      <c r="CE6" s="3"/>
      <c r="CF6" s="3"/>
      <c r="CG6" s="3"/>
      <c r="CH6" s="3"/>
      <c r="CI6" s="3"/>
      <c r="CJ6" s="3"/>
      <c r="CK6" s="3"/>
      <c r="CL6" s="3"/>
      <c r="CM6" s="3"/>
      <c r="CN6" s="3"/>
      <c r="CO6" s="3"/>
      <c r="CP6" s="3"/>
      <c r="CQ6" s="3"/>
      <c r="CR6" s="3"/>
      <c r="CS6" s="3"/>
      <c r="CT6" s="3"/>
      <c r="CU6" s="3"/>
      <c r="CV6" s="3"/>
      <c r="CW6" s="3"/>
      <c r="CX6" s="3" t="s">
        <v>186</v>
      </c>
      <c r="CY6" s="3" t="s">
        <v>418</v>
      </c>
      <c r="CZ6" s="3" t="s">
        <v>367</v>
      </c>
      <c r="DA6" s="3" t="s">
        <v>419</v>
      </c>
      <c r="DB6" s="3" t="s">
        <v>419</v>
      </c>
      <c r="DC6" s="3" t="s">
        <v>262</v>
      </c>
      <c r="DD6" s="3" t="s">
        <v>326</v>
      </c>
      <c r="DE6" s="3" t="s">
        <v>193</v>
      </c>
      <c r="DF6" s="3" t="s">
        <v>195</v>
      </c>
      <c r="DG6" s="3" t="s">
        <v>420</v>
      </c>
      <c r="DH6" s="3" t="s">
        <v>196</v>
      </c>
      <c r="DI6" s="3" t="s">
        <v>421</v>
      </c>
      <c r="DJ6" s="3" t="s">
        <v>198</v>
      </c>
      <c r="DK6" s="3" t="s">
        <v>199</v>
      </c>
      <c r="DL6" s="3" t="s">
        <v>201</v>
      </c>
      <c r="DM6" s="3" t="s">
        <v>265</v>
      </c>
      <c r="DN6" s="3" t="s">
        <v>202</v>
      </c>
      <c r="DO6" s="3" t="s">
        <v>203</v>
      </c>
      <c r="DP6" s="3" t="s">
        <v>204</v>
      </c>
      <c r="DQ6" s="3" t="s">
        <v>422</v>
      </c>
      <c r="DR6" s="3" t="s">
        <v>267</v>
      </c>
      <c r="DS6" s="3" t="s">
        <v>326</v>
      </c>
      <c r="DT6" s="3" t="s">
        <v>326</v>
      </c>
      <c r="DU6" s="3" t="s">
        <v>326</v>
      </c>
      <c r="DV6" s="3" t="s">
        <v>326</v>
      </c>
      <c r="DW6" s="3" t="s">
        <v>207</v>
      </c>
      <c r="DX6" s="3" t="s">
        <v>207</v>
      </c>
      <c r="DY6" s="3" t="s">
        <v>207</v>
      </c>
      <c r="DZ6" s="3" t="s">
        <v>207</v>
      </c>
      <c r="EA6" s="3" t="s">
        <v>208</v>
      </c>
      <c r="EB6" s="3" t="s">
        <v>193</v>
      </c>
      <c r="EC6" s="3" t="s">
        <v>423</v>
      </c>
      <c r="ED6" s="3" t="s">
        <v>424</v>
      </c>
      <c r="EE6" s="3" t="s">
        <v>425</v>
      </c>
      <c r="EF6" s="3" t="s">
        <v>426</v>
      </c>
      <c r="EG6" s="3" t="s">
        <v>427</v>
      </c>
      <c r="EH6" s="3" t="s">
        <v>428</v>
      </c>
      <c r="EI6" s="3" t="s">
        <v>429</v>
      </c>
      <c r="EJ6" s="3" t="s">
        <v>276</v>
      </c>
      <c r="EK6" s="3" t="s">
        <v>384</v>
      </c>
      <c r="EL6" s="3" t="s">
        <v>430</v>
      </c>
      <c r="EM6" s="3" t="s">
        <v>431</v>
      </c>
      <c r="EN6" s="3" t="s">
        <v>432</v>
      </c>
    </row>
    <row r="7" spans="1:144" ht="23.25" customHeight="1" x14ac:dyDescent="0.2">
      <c r="A7" s="2">
        <v>46177.909313159718</v>
      </c>
      <c r="B7" s="3" t="s">
        <v>433</v>
      </c>
      <c r="C7" s="3" t="s">
        <v>434</v>
      </c>
      <c r="D7" s="3" t="s">
        <v>435</v>
      </c>
      <c r="E7" s="3" t="s">
        <v>436</v>
      </c>
      <c r="F7" s="3" t="s">
        <v>437</v>
      </c>
      <c r="G7" s="3" t="s">
        <v>149</v>
      </c>
      <c r="H7" s="3" t="s">
        <v>150</v>
      </c>
      <c r="I7" s="4">
        <v>41465</v>
      </c>
      <c r="J7" s="3" t="s">
        <v>151</v>
      </c>
      <c r="L7" s="3" t="s">
        <v>438</v>
      </c>
      <c r="M7" s="3">
        <v>3</v>
      </c>
      <c r="N7" s="3">
        <v>4</v>
      </c>
      <c r="O7" s="3" t="s">
        <v>439</v>
      </c>
      <c r="P7" s="3" t="s">
        <v>440</v>
      </c>
      <c r="Q7" s="3" t="s">
        <v>156</v>
      </c>
      <c r="R7" s="3">
        <v>65143</v>
      </c>
      <c r="S7" s="5" t="s">
        <v>441</v>
      </c>
      <c r="T7" s="5" t="s">
        <v>442</v>
      </c>
      <c r="U7" s="3" t="s">
        <v>443</v>
      </c>
      <c r="V7" s="3" t="s">
        <v>444</v>
      </c>
      <c r="W7" s="3">
        <v>2</v>
      </c>
      <c r="X7" s="3">
        <v>1</v>
      </c>
      <c r="AA7" s="3" t="s">
        <v>445</v>
      </c>
      <c r="AB7" s="3" t="s">
        <v>161</v>
      </c>
      <c r="AC7" s="3" t="s">
        <v>162</v>
      </c>
      <c r="AD7" s="3" t="s">
        <v>163</v>
      </c>
      <c r="AE7" s="3">
        <v>60</v>
      </c>
      <c r="AF7" s="3">
        <v>160</v>
      </c>
      <c r="AG7" s="3" t="s">
        <v>164</v>
      </c>
      <c r="AH7" s="3" t="s">
        <v>295</v>
      </c>
      <c r="AI7" s="3" t="s">
        <v>446</v>
      </c>
      <c r="AJ7" s="3" t="s">
        <v>167</v>
      </c>
      <c r="AK7" s="3" t="s">
        <v>447</v>
      </c>
      <c r="AL7" s="3" t="s">
        <v>448</v>
      </c>
      <c r="AM7" s="4">
        <v>30293</v>
      </c>
      <c r="AN7" s="3" t="s">
        <v>449</v>
      </c>
      <c r="AO7" s="3" t="s">
        <v>450</v>
      </c>
      <c r="AP7" s="3">
        <v>3</v>
      </c>
      <c r="AQ7" s="3">
        <v>4</v>
      </c>
      <c r="AR7" s="3" t="s">
        <v>451</v>
      </c>
      <c r="AS7" s="3" t="s">
        <v>440</v>
      </c>
      <c r="AT7" s="3" t="s">
        <v>452</v>
      </c>
      <c r="AU7" s="3">
        <v>65143</v>
      </c>
      <c r="AV7" s="3" t="s">
        <v>161</v>
      </c>
      <c r="AW7" s="3" t="s">
        <v>173</v>
      </c>
      <c r="AX7" s="5" t="s">
        <v>442</v>
      </c>
      <c r="AY7" s="3" t="s">
        <v>183</v>
      </c>
      <c r="AZ7" s="3" t="s">
        <v>310</v>
      </c>
      <c r="BA7" s="3" t="s">
        <v>453</v>
      </c>
      <c r="BB7" s="3" t="s">
        <v>454</v>
      </c>
      <c r="BD7" s="3">
        <v>600</v>
      </c>
      <c r="BE7" s="3" t="s">
        <v>433</v>
      </c>
      <c r="BG7" s="3" t="s">
        <v>455</v>
      </c>
      <c r="BH7" s="3" t="s">
        <v>456</v>
      </c>
      <c r="BI7" s="4">
        <v>30514</v>
      </c>
      <c r="BJ7" s="3" t="s">
        <v>457</v>
      </c>
      <c r="BK7" s="3" t="s">
        <v>450</v>
      </c>
      <c r="BL7" s="3">
        <v>3</v>
      </c>
      <c r="BM7" s="3">
        <v>4</v>
      </c>
      <c r="BN7" s="3" t="s">
        <v>451</v>
      </c>
      <c r="BO7" s="3" t="s">
        <v>440</v>
      </c>
      <c r="BP7" s="3" t="s">
        <v>156</v>
      </c>
      <c r="BQ7" s="3">
        <v>65143</v>
      </c>
      <c r="BR7" s="3" t="s">
        <v>161</v>
      </c>
      <c r="BS7" s="3" t="s">
        <v>162</v>
      </c>
      <c r="BT7" s="5" t="s">
        <v>441</v>
      </c>
      <c r="BU7" s="3" t="s">
        <v>183</v>
      </c>
      <c r="BV7" s="3" t="s">
        <v>310</v>
      </c>
      <c r="BW7" s="3" t="s">
        <v>458</v>
      </c>
      <c r="BX7" s="3" t="s">
        <v>459</v>
      </c>
      <c r="BZ7" s="3" t="s">
        <v>460</v>
      </c>
      <c r="CA7" s="3" t="s">
        <v>461</v>
      </c>
      <c r="CX7" s="3" t="s">
        <v>186</v>
      </c>
      <c r="CY7" s="3" t="s">
        <v>462</v>
      </c>
      <c r="CZ7" s="3" t="s">
        <v>463</v>
      </c>
      <c r="DA7" s="3" t="s">
        <v>189</v>
      </c>
      <c r="DB7" s="3" t="s">
        <v>190</v>
      </c>
      <c r="DC7" s="3" t="s">
        <v>464</v>
      </c>
      <c r="DD7" s="3" t="s">
        <v>326</v>
      </c>
      <c r="DE7" s="3" t="s">
        <v>193</v>
      </c>
      <c r="DF7" s="3" t="s">
        <v>319</v>
      </c>
      <c r="DG7" s="3" t="s">
        <v>195</v>
      </c>
      <c r="DH7" s="3" t="s">
        <v>196</v>
      </c>
      <c r="DI7" s="3" t="s">
        <v>465</v>
      </c>
      <c r="DJ7" s="3" t="s">
        <v>198</v>
      </c>
      <c r="DK7" s="3" t="s">
        <v>199</v>
      </c>
      <c r="DL7" s="3" t="s">
        <v>201</v>
      </c>
      <c r="DM7" s="3" t="s">
        <v>265</v>
      </c>
      <c r="DN7" s="3" t="s">
        <v>323</v>
      </c>
      <c r="DO7" s="3" t="s">
        <v>466</v>
      </c>
      <c r="DP7" s="3" t="s">
        <v>204</v>
      </c>
      <c r="DQ7" s="3" t="s">
        <v>205</v>
      </c>
      <c r="DR7" s="3" t="s">
        <v>467</v>
      </c>
      <c r="DS7" s="3" t="s">
        <v>468</v>
      </c>
      <c r="DT7" s="3" t="s">
        <v>326</v>
      </c>
      <c r="DU7" s="3" t="s">
        <v>469</v>
      </c>
      <c r="DV7" s="3" t="s">
        <v>326</v>
      </c>
      <c r="DW7" s="3" t="s">
        <v>207</v>
      </c>
      <c r="DX7" s="3" t="s">
        <v>207</v>
      </c>
      <c r="DY7" s="3" t="s">
        <v>207</v>
      </c>
      <c r="DZ7" s="3" t="s">
        <v>207</v>
      </c>
      <c r="EA7" s="3" t="s">
        <v>268</v>
      </c>
      <c r="EB7" s="3" t="s">
        <v>193</v>
      </c>
      <c r="EC7" s="3" t="s">
        <v>470</v>
      </c>
      <c r="ED7" s="3" t="s">
        <v>471</v>
      </c>
      <c r="EE7" s="3" t="s">
        <v>472</v>
      </c>
      <c r="EF7" s="3" t="s">
        <v>473</v>
      </c>
      <c r="EG7" s="3" t="s">
        <v>474</v>
      </c>
      <c r="EH7" s="3" t="s">
        <v>475</v>
      </c>
      <c r="EI7" s="3">
        <v>2</v>
      </c>
      <c r="EJ7" s="3" t="s">
        <v>476</v>
      </c>
      <c r="EK7" s="3" t="s">
        <v>477</v>
      </c>
      <c r="EL7" s="3" t="s">
        <v>478</v>
      </c>
      <c r="EM7" s="3" t="s">
        <v>479</v>
      </c>
      <c r="EN7" s="3" t="s">
        <v>480</v>
      </c>
    </row>
    <row r="8" spans="1:144" ht="24.75" customHeight="1" x14ac:dyDescent="0.2">
      <c r="A8" s="2">
        <v>46185.420601527774</v>
      </c>
      <c r="B8" s="3" t="s">
        <v>481</v>
      </c>
      <c r="C8" s="3" t="s">
        <v>482</v>
      </c>
      <c r="D8" s="3" t="s">
        <v>483</v>
      </c>
      <c r="E8" s="3" t="s">
        <v>484</v>
      </c>
      <c r="F8" s="3" t="s">
        <v>485</v>
      </c>
      <c r="G8" s="3" t="s">
        <v>149</v>
      </c>
      <c r="H8" s="3" t="s">
        <v>226</v>
      </c>
      <c r="I8" s="4">
        <v>41736</v>
      </c>
      <c r="J8" s="3" t="s">
        <v>151</v>
      </c>
      <c r="L8" s="3" t="s">
        <v>486</v>
      </c>
      <c r="M8" s="5" t="s">
        <v>346</v>
      </c>
      <c r="N8" s="5" t="s">
        <v>487</v>
      </c>
      <c r="O8" s="3" t="s">
        <v>488</v>
      </c>
      <c r="P8" s="3" t="s">
        <v>489</v>
      </c>
      <c r="Q8" s="3" t="s">
        <v>490</v>
      </c>
      <c r="R8" s="3">
        <v>65144</v>
      </c>
      <c r="S8" s="3">
        <v>0</v>
      </c>
      <c r="T8" s="5" t="s">
        <v>491</v>
      </c>
      <c r="U8" s="3" t="s">
        <v>492</v>
      </c>
      <c r="V8" s="3" t="s">
        <v>493</v>
      </c>
      <c r="W8" s="3">
        <v>2</v>
      </c>
      <c r="X8" s="3">
        <v>2</v>
      </c>
      <c r="Y8" s="3">
        <v>0</v>
      </c>
      <c r="Z8" s="3">
        <v>0</v>
      </c>
      <c r="AA8" s="3" t="s">
        <v>235</v>
      </c>
      <c r="AB8" s="3" t="s">
        <v>161</v>
      </c>
      <c r="AC8" s="3" t="s">
        <v>162</v>
      </c>
      <c r="AD8" s="3" t="s">
        <v>236</v>
      </c>
      <c r="AE8" s="3">
        <v>24</v>
      </c>
      <c r="AF8" s="3">
        <v>141</v>
      </c>
      <c r="AG8" s="3" t="s">
        <v>494</v>
      </c>
      <c r="AH8" s="3" t="s">
        <v>165</v>
      </c>
      <c r="AI8" s="3" t="s">
        <v>166</v>
      </c>
      <c r="AJ8" s="3" t="s">
        <v>167</v>
      </c>
      <c r="AK8" s="3" t="s">
        <v>495</v>
      </c>
      <c r="AL8" s="3" t="s">
        <v>496</v>
      </c>
      <c r="AM8" s="4">
        <v>28766</v>
      </c>
      <c r="AN8" s="3" t="s">
        <v>497</v>
      </c>
      <c r="AO8" s="3" t="s">
        <v>498</v>
      </c>
      <c r="AP8" s="5" t="s">
        <v>346</v>
      </c>
      <c r="AQ8" s="5" t="s">
        <v>487</v>
      </c>
      <c r="AR8" s="3" t="s">
        <v>488</v>
      </c>
      <c r="AS8" s="3" t="s">
        <v>489</v>
      </c>
      <c r="AT8" s="3" t="s">
        <v>226</v>
      </c>
      <c r="AU8" s="3">
        <v>65144</v>
      </c>
      <c r="AV8" s="3" t="s">
        <v>161</v>
      </c>
      <c r="AW8" s="3" t="s">
        <v>162</v>
      </c>
      <c r="AX8" s="5" t="s">
        <v>499</v>
      </c>
      <c r="AY8" s="3" t="s">
        <v>183</v>
      </c>
      <c r="AZ8" s="3" t="s">
        <v>500</v>
      </c>
      <c r="BA8" s="3">
        <v>0</v>
      </c>
      <c r="BB8" s="3">
        <v>0</v>
      </c>
      <c r="BC8" s="3">
        <v>0</v>
      </c>
      <c r="BD8" s="3" t="s">
        <v>257</v>
      </c>
      <c r="BE8" s="3" t="s">
        <v>481</v>
      </c>
      <c r="BG8" s="3" t="s">
        <v>501</v>
      </c>
      <c r="BH8" s="3" t="s">
        <v>502</v>
      </c>
      <c r="BI8" s="4">
        <v>29308</v>
      </c>
      <c r="BJ8" s="3" t="s">
        <v>503</v>
      </c>
      <c r="BK8" s="3" t="s">
        <v>486</v>
      </c>
      <c r="BL8" s="5" t="s">
        <v>346</v>
      </c>
      <c r="BM8" s="5" t="s">
        <v>487</v>
      </c>
      <c r="BN8" s="3" t="s">
        <v>488</v>
      </c>
      <c r="BO8" s="3" t="s">
        <v>489</v>
      </c>
      <c r="BP8" s="3" t="s">
        <v>226</v>
      </c>
      <c r="BQ8" s="3">
        <v>65144</v>
      </c>
      <c r="BR8" s="3" t="s">
        <v>161</v>
      </c>
      <c r="BS8" s="3" t="s">
        <v>162</v>
      </c>
      <c r="BT8" s="5" t="s">
        <v>504</v>
      </c>
      <c r="BU8" s="3" t="s">
        <v>174</v>
      </c>
      <c r="BV8" s="3" t="s">
        <v>244</v>
      </c>
      <c r="BW8" s="3" t="s">
        <v>505</v>
      </c>
      <c r="BX8" s="3" t="s">
        <v>506</v>
      </c>
      <c r="BY8" s="3">
        <v>0</v>
      </c>
      <c r="BZ8" s="3" t="s">
        <v>409</v>
      </c>
      <c r="CA8" s="3" t="s">
        <v>507</v>
      </c>
      <c r="CX8" s="3" t="s">
        <v>186</v>
      </c>
      <c r="CY8" s="3" t="s">
        <v>508</v>
      </c>
      <c r="CZ8" s="3" t="s">
        <v>509</v>
      </c>
      <c r="DA8" s="3" t="s">
        <v>261</v>
      </c>
      <c r="DB8" s="3" t="s">
        <v>190</v>
      </c>
      <c r="DC8" s="3" t="s">
        <v>510</v>
      </c>
      <c r="DD8" s="3">
        <v>0</v>
      </c>
      <c r="DE8" s="3" t="s">
        <v>193</v>
      </c>
      <c r="DF8" s="3" t="s">
        <v>195</v>
      </c>
      <c r="DG8" s="3" t="s">
        <v>511</v>
      </c>
      <c r="DH8" s="3" t="s">
        <v>512</v>
      </c>
      <c r="DI8" s="3" t="s">
        <v>513</v>
      </c>
      <c r="DJ8" s="3" t="s">
        <v>321</v>
      </c>
      <c r="DK8" s="3" t="s">
        <v>514</v>
      </c>
      <c r="DL8" s="3" t="s">
        <v>201</v>
      </c>
      <c r="DM8" s="3" t="s">
        <v>265</v>
      </c>
      <c r="DN8" s="3" t="s">
        <v>372</v>
      </c>
      <c r="DO8" s="3" t="s">
        <v>203</v>
      </c>
      <c r="DP8" s="3" t="s">
        <v>204</v>
      </c>
      <c r="DQ8" s="3" t="s">
        <v>205</v>
      </c>
      <c r="DR8" s="3" t="s">
        <v>206</v>
      </c>
      <c r="DS8" s="3">
        <v>0</v>
      </c>
      <c r="DT8" s="3">
        <v>0</v>
      </c>
      <c r="DU8" s="3">
        <v>0</v>
      </c>
      <c r="DV8" s="3">
        <v>0</v>
      </c>
      <c r="DW8" s="3" t="s">
        <v>207</v>
      </c>
      <c r="DX8" s="3" t="s">
        <v>207</v>
      </c>
      <c r="DY8" s="3" t="s">
        <v>207</v>
      </c>
      <c r="DZ8" s="3" t="s">
        <v>207</v>
      </c>
      <c r="EA8" s="3" t="s">
        <v>208</v>
      </c>
      <c r="EB8" s="3" t="s">
        <v>193</v>
      </c>
      <c r="EC8" s="3" t="s">
        <v>515</v>
      </c>
      <c r="ED8" s="3" t="s">
        <v>516</v>
      </c>
      <c r="EE8" s="3" t="s">
        <v>517</v>
      </c>
      <c r="EF8" s="3" t="s">
        <v>518</v>
      </c>
      <c r="EG8" s="3" t="s">
        <v>519</v>
      </c>
      <c r="EH8" s="3" t="s">
        <v>520</v>
      </c>
      <c r="EI8" s="3" t="s">
        <v>521</v>
      </c>
      <c r="EJ8" s="3" t="s">
        <v>276</v>
      </c>
      <c r="EK8" s="3" t="s">
        <v>522</v>
      </c>
      <c r="EL8" s="3" t="s">
        <v>523</v>
      </c>
      <c r="EM8" s="3" t="s">
        <v>524</v>
      </c>
      <c r="EN8" s="3" t="s">
        <v>525</v>
      </c>
    </row>
    <row r="9" spans="1:144" ht="22.5" customHeight="1" x14ac:dyDescent="0.2">
      <c r="A9" s="2">
        <v>46204.635258148148</v>
      </c>
      <c r="B9" s="3" t="s">
        <v>526</v>
      </c>
      <c r="C9" s="3" t="s">
        <v>527</v>
      </c>
      <c r="D9" s="3" t="s">
        <v>528</v>
      </c>
      <c r="E9" s="3" t="s">
        <v>529</v>
      </c>
      <c r="F9" s="3" t="s">
        <v>530</v>
      </c>
      <c r="G9" s="3" t="s">
        <v>149</v>
      </c>
      <c r="H9" s="3" t="s">
        <v>531</v>
      </c>
      <c r="I9" s="4">
        <v>41778</v>
      </c>
      <c r="J9" s="3" t="s">
        <v>151</v>
      </c>
      <c r="L9" s="3" t="s">
        <v>532</v>
      </c>
      <c r="M9" s="5" t="s">
        <v>533</v>
      </c>
      <c r="N9" s="5" t="s">
        <v>534</v>
      </c>
      <c r="O9" s="3" t="s">
        <v>440</v>
      </c>
      <c r="P9" s="3" t="s">
        <v>395</v>
      </c>
      <c r="Q9" s="3" t="s">
        <v>535</v>
      </c>
      <c r="R9" s="3">
        <v>65141</v>
      </c>
      <c r="S9" s="3" t="s">
        <v>152</v>
      </c>
      <c r="T9" s="5" t="s">
        <v>536</v>
      </c>
      <c r="U9" s="3" t="s">
        <v>537</v>
      </c>
      <c r="V9" s="3" t="s">
        <v>538</v>
      </c>
      <c r="W9" s="3">
        <v>1</v>
      </c>
      <c r="X9" s="3">
        <v>2</v>
      </c>
      <c r="AA9" s="3" t="s">
        <v>539</v>
      </c>
      <c r="AB9" s="3" t="s">
        <v>161</v>
      </c>
      <c r="AC9" s="3" t="s">
        <v>162</v>
      </c>
      <c r="AD9" s="3" t="s">
        <v>163</v>
      </c>
      <c r="AE9" s="3" t="s">
        <v>540</v>
      </c>
      <c r="AF9" s="3">
        <v>158</v>
      </c>
      <c r="AG9" s="3" t="s">
        <v>541</v>
      </c>
      <c r="AH9" s="3" t="s">
        <v>165</v>
      </c>
      <c r="AI9" s="3" t="s">
        <v>446</v>
      </c>
      <c r="AJ9" s="3" t="s">
        <v>167</v>
      </c>
      <c r="AK9" s="3" t="s">
        <v>537</v>
      </c>
      <c r="AL9" s="3" t="s">
        <v>542</v>
      </c>
      <c r="AM9" s="4">
        <v>32543</v>
      </c>
      <c r="AN9" s="3" t="s">
        <v>543</v>
      </c>
      <c r="AO9" s="3" t="s">
        <v>544</v>
      </c>
      <c r="AP9" s="5" t="s">
        <v>533</v>
      </c>
      <c r="AQ9" s="5" t="s">
        <v>534</v>
      </c>
      <c r="AR9" s="3" t="s">
        <v>155</v>
      </c>
      <c r="AS9" s="3" t="s">
        <v>395</v>
      </c>
      <c r="AT9" s="3" t="s">
        <v>150</v>
      </c>
      <c r="AU9" s="3">
        <v>65141</v>
      </c>
      <c r="AV9" s="3" t="s">
        <v>161</v>
      </c>
      <c r="AW9" s="3" t="s">
        <v>173</v>
      </c>
      <c r="AX9" s="5" t="s">
        <v>545</v>
      </c>
      <c r="AY9" s="3" t="s">
        <v>174</v>
      </c>
      <c r="AZ9" s="3" t="s">
        <v>546</v>
      </c>
      <c r="BA9" s="3" t="s">
        <v>547</v>
      </c>
      <c r="BB9" s="3" t="s">
        <v>548</v>
      </c>
      <c r="BC9" s="5" t="s">
        <v>549</v>
      </c>
      <c r="BD9" s="3" t="s">
        <v>550</v>
      </c>
      <c r="BE9" s="3" t="s">
        <v>551</v>
      </c>
      <c r="BG9" s="3" t="s">
        <v>552</v>
      </c>
      <c r="BH9" s="3" t="s">
        <v>553</v>
      </c>
      <c r="BI9" s="4">
        <v>34056</v>
      </c>
      <c r="BJ9" s="3" t="s">
        <v>554</v>
      </c>
      <c r="BK9" s="3" t="s">
        <v>555</v>
      </c>
      <c r="BL9" s="5" t="s">
        <v>533</v>
      </c>
      <c r="BM9" s="5" t="s">
        <v>534</v>
      </c>
      <c r="BN9" s="3" t="s">
        <v>155</v>
      </c>
      <c r="BO9" s="3" t="s">
        <v>395</v>
      </c>
      <c r="BP9" s="3" t="s">
        <v>150</v>
      </c>
      <c r="BQ9" s="3">
        <v>65141</v>
      </c>
      <c r="BR9" s="3" t="s">
        <v>161</v>
      </c>
      <c r="BS9" s="3" t="s">
        <v>162</v>
      </c>
      <c r="BT9" s="5" t="s">
        <v>536</v>
      </c>
      <c r="BU9" s="3" t="s">
        <v>183</v>
      </c>
      <c r="BV9" s="3" t="s">
        <v>546</v>
      </c>
      <c r="BW9" s="3" t="s">
        <v>556</v>
      </c>
      <c r="BX9" s="3" t="s">
        <v>557</v>
      </c>
      <c r="BY9" s="3" t="s">
        <v>152</v>
      </c>
      <c r="BZ9" s="3" t="s">
        <v>550</v>
      </c>
      <c r="CA9" s="3" t="s">
        <v>526</v>
      </c>
      <c r="CX9" s="3" t="s">
        <v>186</v>
      </c>
      <c r="CY9" s="3" t="s">
        <v>558</v>
      </c>
      <c r="CZ9" s="3" t="s">
        <v>559</v>
      </c>
      <c r="DA9" s="3" t="s">
        <v>419</v>
      </c>
      <c r="DB9" s="3" t="s">
        <v>190</v>
      </c>
      <c r="DC9" s="3">
        <v>2020</v>
      </c>
      <c r="DD9" s="3" t="s">
        <v>560</v>
      </c>
      <c r="DE9" s="3" t="s">
        <v>193</v>
      </c>
      <c r="DF9" s="3" t="s">
        <v>561</v>
      </c>
      <c r="DG9" s="3" t="s">
        <v>562</v>
      </c>
      <c r="DH9" s="3" t="s">
        <v>196</v>
      </c>
      <c r="DI9" s="3" t="s">
        <v>563</v>
      </c>
      <c r="DJ9" s="3" t="s">
        <v>198</v>
      </c>
      <c r="DK9" s="3" t="s">
        <v>199</v>
      </c>
      <c r="DL9" s="3" t="s">
        <v>564</v>
      </c>
      <c r="DM9" s="3" t="s">
        <v>265</v>
      </c>
      <c r="DN9" s="3" t="s">
        <v>202</v>
      </c>
      <c r="DO9" s="3" t="s">
        <v>203</v>
      </c>
      <c r="DP9" s="3" t="s">
        <v>204</v>
      </c>
      <c r="DQ9" s="3" t="s">
        <v>205</v>
      </c>
      <c r="DR9" s="3" t="s">
        <v>267</v>
      </c>
      <c r="DS9" s="3" t="s">
        <v>565</v>
      </c>
      <c r="DT9" s="3" t="s">
        <v>152</v>
      </c>
      <c r="DU9" s="3" t="s">
        <v>560</v>
      </c>
      <c r="DV9" s="3" t="s">
        <v>152</v>
      </c>
      <c r="DW9" s="3" t="s">
        <v>207</v>
      </c>
      <c r="DX9" s="3" t="s">
        <v>207</v>
      </c>
      <c r="DY9" s="3" t="s">
        <v>207</v>
      </c>
      <c r="DZ9" s="3" t="s">
        <v>201</v>
      </c>
      <c r="EA9" s="3" t="s">
        <v>268</v>
      </c>
      <c r="EB9" s="3" t="s">
        <v>193</v>
      </c>
      <c r="EC9" s="3" t="s">
        <v>209</v>
      </c>
      <c r="ED9" s="3" t="s">
        <v>152</v>
      </c>
      <c r="EE9" s="3" t="s">
        <v>152</v>
      </c>
      <c r="EF9" s="3" t="s">
        <v>566</v>
      </c>
      <c r="EG9" s="3" t="s">
        <v>567</v>
      </c>
      <c r="EH9" s="3" t="s">
        <v>568</v>
      </c>
      <c r="EI9" s="3" t="s">
        <v>569</v>
      </c>
      <c r="EJ9" s="3" t="s">
        <v>216</v>
      </c>
      <c r="EK9" s="3" t="s">
        <v>570</v>
      </c>
      <c r="EL9" s="3" t="s">
        <v>152</v>
      </c>
      <c r="EM9" s="3" t="s">
        <v>152</v>
      </c>
      <c r="EN9" s="3" t="s">
        <v>152</v>
      </c>
    </row>
    <row r="10" spans="1:144" ht="22.5" customHeight="1" x14ac:dyDescent="0.2">
      <c r="A10" s="2">
        <v>46209.433611099535</v>
      </c>
      <c r="B10" s="3" t="s">
        <v>571</v>
      </c>
      <c r="C10" s="3" t="s">
        <v>572</v>
      </c>
      <c r="D10" s="3" t="s">
        <v>573</v>
      </c>
      <c r="E10" s="3" t="s">
        <v>574</v>
      </c>
      <c r="F10" s="3" t="s">
        <v>575</v>
      </c>
      <c r="G10" s="3" t="s">
        <v>286</v>
      </c>
      <c r="H10" s="3" t="s">
        <v>226</v>
      </c>
      <c r="I10" s="4">
        <v>41502</v>
      </c>
      <c r="J10" s="3" t="s">
        <v>151</v>
      </c>
      <c r="L10" s="3" t="s">
        <v>576</v>
      </c>
      <c r="M10" s="5" t="s">
        <v>577</v>
      </c>
      <c r="N10" s="5" t="s">
        <v>577</v>
      </c>
      <c r="O10" s="3" t="s">
        <v>578</v>
      </c>
      <c r="P10" s="3" t="s">
        <v>489</v>
      </c>
      <c r="Q10" s="3" t="s">
        <v>490</v>
      </c>
      <c r="R10" s="3">
        <v>65145</v>
      </c>
      <c r="S10" s="5" t="s">
        <v>579</v>
      </c>
      <c r="T10" s="5" t="s">
        <v>579</v>
      </c>
      <c r="U10" s="3" t="s">
        <v>580</v>
      </c>
      <c r="V10" s="3" t="s">
        <v>581</v>
      </c>
      <c r="W10" s="3">
        <v>3</v>
      </c>
      <c r="X10" s="3">
        <v>3</v>
      </c>
      <c r="Y10" s="3">
        <v>0</v>
      </c>
      <c r="Z10" s="3">
        <v>0</v>
      </c>
      <c r="AA10" s="3" t="s">
        <v>582</v>
      </c>
      <c r="AB10" s="3" t="s">
        <v>161</v>
      </c>
      <c r="AC10" s="3" t="s">
        <v>162</v>
      </c>
      <c r="AD10" s="3" t="s">
        <v>236</v>
      </c>
      <c r="AE10" s="3">
        <v>41</v>
      </c>
      <c r="AF10" s="3">
        <v>155</v>
      </c>
      <c r="AG10" s="3" t="s">
        <v>238</v>
      </c>
      <c r="AH10" s="3" t="s">
        <v>295</v>
      </c>
      <c r="AI10" s="3" t="s">
        <v>239</v>
      </c>
      <c r="AJ10" s="3" t="s">
        <v>167</v>
      </c>
      <c r="AK10" s="3" t="s">
        <v>583</v>
      </c>
      <c r="AL10" s="3" t="s">
        <v>226</v>
      </c>
      <c r="AM10" s="4">
        <v>31863</v>
      </c>
      <c r="AN10" s="3" t="s">
        <v>584</v>
      </c>
      <c r="AO10" s="3" t="s">
        <v>585</v>
      </c>
      <c r="AP10" s="5" t="s">
        <v>577</v>
      </c>
      <c r="AQ10" s="5" t="s">
        <v>577</v>
      </c>
      <c r="AR10" s="3" t="s">
        <v>578</v>
      </c>
      <c r="AS10" s="3" t="s">
        <v>489</v>
      </c>
      <c r="AT10" s="3" t="s">
        <v>490</v>
      </c>
      <c r="AU10" s="3">
        <v>65145</v>
      </c>
      <c r="AV10" s="3" t="s">
        <v>161</v>
      </c>
      <c r="AW10" s="3" t="s">
        <v>162</v>
      </c>
      <c r="AX10" s="5" t="s">
        <v>586</v>
      </c>
      <c r="AY10" s="3" t="s">
        <v>183</v>
      </c>
      <c r="AZ10" s="3" t="s">
        <v>587</v>
      </c>
      <c r="BA10" s="3" t="s">
        <v>588</v>
      </c>
      <c r="BB10" s="3" t="s">
        <v>589</v>
      </c>
      <c r="BC10" s="3">
        <v>1500056</v>
      </c>
      <c r="BD10" s="3" t="s">
        <v>257</v>
      </c>
      <c r="BE10" s="3" t="s">
        <v>590</v>
      </c>
      <c r="BF10" s="3" t="s">
        <v>591</v>
      </c>
      <c r="BG10" s="3" t="s">
        <v>592</v>
      </c>
      <c r="BH10" s="3" t="s">
        <v>593</v>
      </c>
      <c r="BI10" s="4">
        <v>31574</v>
      </c>
      <c r="BJ10" s="3" t="s">
        <v>594</v>
      </c>
      <c r="BK10" s="3" t="s">
        <v>576</v>
      </c>
      <c r="BL10" s="5" t="s">
        <v>577</v>
      </c>
      <c r="BM10" s="5" t="s">
        <v>577</v>
      </c>
      <c r="BN10" s="3" t="s">
        <v>578</v>
      </c>
      <c r="BO10" s="3" t="s">
        <v>489</v>
      </c>
      <c r="BP10" s="3" t="s">
        <v>490</v>
      </c>
      <c r="BQ10" s="3">
        <v>65145</v>
      </c>
      <c r="BR10" s="3" t="s">
        <v>161</v>
      </c>
      <c r="BS10" s="3" t="s">
        <v>162</v>
      </c>
      <c r="BT10" s="5" t="s">
        <v>579</v>
      </c>
      <c r="BU10" s="3" t="s">
        <v>183</v>
      </c>
      <c r="BV10" s="3" t="s">
        <v>587</v>
      </c>
      <c r="BW10" s="3" t="s">
        <v>595</v>
      </c>
      <c r="BX10" s="3" t="s">
        <v>596</v>
      </c>
      <c r="BY10" s="5" t="s">
        <v>597</v>
      </c>
      <c r="BZ10" s="3" t="s">
        <v>257</v>
      </c>
      <c r="CA10" s="3" t="s">
        <v>571</v>
      </c>
      <c r="CB10" s="3" t="s">
        <v>219</v>
      </c>
      <c r="CX10" s="3" t="s">
        <v>186</v>
      </c>
      <c r="CY10" s="3" t="s">
        <v>598</v>
      </c>
      <c r="CZ10" s="3" t="s">
        <v>599</v>
      </c>
      <c r="DA10" s="3" t="s">
        <v>190</v>
      </c>
      <c r="DB10" s="3" t="s">
        <v>190</v>
      </c>
      <c r="DC10" s="3" t="s">
        <v>600</v>
      </c>
      <c r="DD10" s="3" t="s">
        <v>152</v>
      </c>
      <c r="DE10" s="3" t="s">
        <v>193</v>
      </c>
      <c r="DF10" s="3" t="s">
        <v>195</v>
      </c>
      <c r="DG10" s="3" t="s">
        <v>194</v>
      </c>
      <c r="DH10" s="3" t="s">
        <v>196</v>
      </c>
      <c r="DI10" s="3" t="s">
        <v>601</v>
      </c>
      <c r="DJ10" s="3" t="s">
        <v>198</v>
      </c>
      <c r="DK10" s="3" t="s">
        <v>199</v>
      </c>
      <c r="DL10" s="3" t="s">
        <v>564</v>
      </c>
      <c r="DM10" s="3" t="s">
        <v>265</v>
      </c>
      <c r="DN10" s="3" t="s">
        <v>372</v>
      </c>
      <c r="DO10" s="3" t="s">
        <v>466</v>
      </c>
      <c r="DP10" s="3" t="s">
        <v>204</v>
      </c>
      <c r="DQ10" s="3" t="s">
        <v>205</v>
      </c>
      <c r="DR10" s="3" t="s">
        <v>267</v>
      </c>
      <c r="DS10" s="3" t="s">
        <v>152</v>
      </c>
      <c r="DT10" s="3" t="s">
        <v>152</v>
      </c>
      <c r="DU10" s="3" t="s">
        <v>152</v>
      </c>
      <c r="DV10" s="3" t="s">
        <v>152</v>
      </c>
      <c r="DW10" s="3" t="s">
        <v>201</v>
      </c>
      <c r="DX10" s="3" t="s">
        <v>207</v>
      </c>
      <c r="DY10" s="3" t="s">
        <v>201</v>
      </c>
      <c r="DZ10" s="3" t="s">
        <v>201</v>
      </c>
      <c r="EA10" s="3" t="s">
        <v>268</v>
      </c>
      <c r="EB10" s="3" t="s">
        <v>193</v>
      </c>
      <c r="EC10" s="3" t="s">
        <v>602</v>
      </c>
      <c r="ED10" s="3" t="s">
        <v>152</v>
      </c>
      <c r="EE10" s="3" t="s">
        <v>152</v>
      </c>
      <c r="EF10" s="3" t="s">
        <v>603</v>
      </c>
      <c r="EG10" s="3" t="s">
        <v>604</v>
      </c>
      <c r="EH10" s="3" t="s">
        <v>605</v>
      </c>
      <c r="EI10" s="3" t="s">
        <v>606</v>
      </c>
      <c r="EJ10" s="3" t="s">
        <v>216</v>
      </c>
      <c r="EK10" s="3" t="s">
        <v>607</v>
      </c>
      <c r="EL10" s="3" t="s">
        <v>608</v>
      </c>
      <c r="EM10" s="3" t="s">
        <v>609</v>
      </c>
      <c r="EN10" s="3" t="s">
        <v>610</v>
      </c>
    </row>
    <row r="11" spans="1:144" ht="22.5" customHeight="1" x14ac:dyDescent="0.2">
      <c r="A11" s="2">
        <v>46210.658393344907</v>
      </c>
      <c r="B11" s="3" t="s">
        <v>611</v>
      </c>
      <c r="C11" s="3" t="s">
        <v>612</v>
      </c>
      <c r="D11" s="3" t="s">
        <v>613</v>
      </c>
      <c r="E11" s="3" t="s">
        <v>614</v>
      </c>
      <c r="F11" s="3" t="s">
        <v>615</v>
      </c>
      <c r="G11" s="3" t="s">
        <v>149</v>
      </c>
      <c r="H11" s="3" t="s">
        <v>150</v>
      </c>
      <c r="I11" s="4">
        <v>41451</v>
      </c>
      <c r="J11" s="3" t="s">
        <v>151</v>
      </c>
      <c r="L11" s="3" t="s">
        <v>616</v>
      </c>
      <c r="M11" s="5" t="s">
        <v>577</v>
      </c>
      <c r="N11" s="5" t="s">
        <v>487</v>
      </c>
      <c r="O11" s="3" t="s">
        <v>617</v>
      </c>
      <c r="P11" s="3" t="s">
        <v>155</v>
      </c>
      <c r="Q11" s="3" t="s">
        <v>156</v>
      </c>
      <c r="R11" s="3">
        <v>65141</v>
      </c>
      <c r="S11" s="5" t="s">
        <v>618</v>
      </c>
      <c r="T11" s="5" t="s">
        <v>618</v>
      </c>
      <c r="U11" s="3" t="s">
        <v>619</v>
      </c>
      <c r="V11" s="3" t="s">
        <v>620</v>
      </c>
      <c r="W11" s="3">
        <v>3</v>
      </c>
      <c r="X11" s="3">
        <v>3</v>
      </c>
      <c r="AA11" s="3" t="s">
        <v>621</v>
      </c>
      <c r="AB11" s="3" t="s">
        <v>161</v>
      </c>
      <c r="AC11" s="3" t="s">
        <v>162</v>
      </c>
      <c r="AD11" s="3" t="s">
        <v>163</v>
      </c>
      <c r="AE11" s="3">
        <v>42</v>
      </c>
      <c r="AF11" s="3">
        <v>150</v>
      </c>
      <c r="AG11" s="3" t="s">
        <v>164</v>
      </c>
      <c r="AH11" s="3" t="s">
        <v>295</v>
      </c>
      <c r="AI11" s="3" t="s">
        <v>239</v>
      </c>
      <c r="AJ11" s="3" t="s">
        <v>167</v>
      </c>
      <c r="AK11" s="3" t="s">
        <v>622</v>
      </c>
      <c r="AL11" s="3" t="s">
        <v>150</v>
      </c>
      <c r="AM11" s="4">
        <v>28595</v>
      </c>
      <c r="AN11" s="3" t="s">
        <v>623</v>
      </c>
      <c r="AO11" s="3" t="s">
        <v>624</v>
      </c>
      <c r="AP11" s="5" t="s">
        <v>577</v>
      </c>
      <c r="AQ11" s="5" t="s">
        <v>487</v>
      </c>
      <c r="AR11" s="3" t="s">
        <v>617</v>
      </c>
      <c r="AS11" s="3" t="s">
        <v>155</v>
      </c>
      <c r="AT11" s="3" t="s">
        <v>156</v>
      </c>
      <c r="AU11" s="3">
        <v>65141</v>
      </c>
      <c r="AV11" s="3" t="s">
        <v>161</v>
      </c>
      <c r="AW11" s="3" t="s">
        <v>173</v>
      </c>
      <c r="AX11" s="3" t="s">
        <v>625</v>
      </c>
      <c r="AY11" s="3" t="s">
        <v>183</v>
      </c>
      <c r="AZ11" s="3" t="s">
        <v>626</v>
      </c>
      <c r="BA11" s="3" t="s">
        <v>627</v>
      </c>
      <c r="BB11" s="3" t="s">
        <v>628</v>
      </c>
      <c r="BC11" s="3" t="s">
        <v>629</v>
      </c>
      <c r="BD11" s="3" t="s">
        <v>630</v>
      </c>
      <c r="BE11" s="3" t="s">
        <v>611</v>
      </c>
      <c r="BF11" s="3" t="s">
        <v>631</v>
      </c>
      <c r="BG11" s="3" t="s">
        <v>632</v>
      </c>
      <c r="BH11" s="3" t="s">
        <v>150</v>
      </c>
      <c r="BI11" s="4">
        <v>27989</v>
      </c>
      <c r="BJ11" s="3">
        <v>3573055708760010</v>
      </c>
      <c r="BK11" s="3" t="s">
        <v>633</v>
      </c>
      <c r="BL11" s="5" t="s">
        <v>577</v>
      </c>
      <c r="BM11" s="5" t="s">
        <v>487</v>
      </c>
      <c r="BN11" s="3" t="s">
        <v>617</v>
      </c>
      <c r="BO11" s="3" t="s">
        <v>155</v>
      </c>
      <c r="BP11" s="3" t="s">
        <v>156</v>
      </c>
      <c r="BQ11" s="3">
        <v>65141</v>
      </c>
      <c r="BR11" s="3" t="s">
        <v>161</v>
      </c>
      <c r="BS11" s="3" t="s">
        <v>162</v>
      </c>
      <c r="BT11" s="5" t="s">
        <v>618</v>
      </c>
      <c r="BU11" s="3" t="s">
        <v>183</v>
      </c>
      <c r="BV11" s="3" t="s">
        <v>365</v>
      </c>
      <c r="BW11" s="3" t="s">
        <v>152</v>
      </c>
      <c r="BX11" s="3" t="s">
        <v>152</v>
      </c>
      <c r="BY11" s="3" t="s">
        <v>152</v>
      </c>
      <c r="BZ11" s="3" t="s">
        <v>152</v>
      </c>
      <c r="CA11" s="3" t="s">
        <v>611</v>
      </c>
      <c r="CB11" s="3" t="s">
        <v>634</v>
      </c>
      <c r="CX11" s="3" t="s">
        <v>186</v>
      </c>
      <c r="CY11" s="3" t="s">
        <v>635</v>
      </c>
      <c r="CZ11" s="3" t="s">
        <v>636</v>
      </c>
      <c r="DA11" s="3" t="s">
        <v>189</v>
      </c>
      <c r="DB11" s="3" t="s">
        <v>190</v>
      </c>
      <c r="DC11" s="3" t="s">
        <v>637</v>
      </c>
      <c r="DD11" s="3" t="s">
        <v>152</v>
      </c>
      <c r="DE11" s="3" t="s">
        <v>193</v>
      </c>
      <c r="DF11" s="3" t="s">
        <v>195</v>
      </c>
      <c r="DG11" s="3" t="s">
        <v>638</v>
      </c>
      <c r="DH11" s="3" t="s">
        <v>196</v>
      </c>
      <c r="DI11" s="3" t="s">
        <v>639</v>
      </c>
      <c r="DJ11" s="3" t="s">
        <v>321</v>
      </c>
      <c r="DK11" s="3" t="s">
        <v>199</v>
      </c>
      <c r="DL11" s="3" t="s">
        <v>564</v>
      </c>
      <c r="DM11" s="3" t="s">
        <v>265</v>
      </c>
      <c r="DN11" s="3" t="s">
        <v>640</v>
      </c>
      <c r="DO11" s="3" t="s">
        <v>466</v>
      </c>
      <c r="DP11" s="3" t="s">
        <v>204</v>
      </c>
      <c r="DQ11" s="3" t="s">
        <v>641</v>
      </c>
      <c r="DR11" s="3" t="s">
        <v>642</v>
      </c>
      <c r="DS11" s="3" t="s">
        <v>327</v>
      </c>
      <c r="DT11" s="3" t="s">
        <v>327</v>
      </c>
      <c r="DU11" s="3" t="s">
        <v>327</v>
      </c>
      <c r="DV11" s="3" t="s">
        <v>327</v>
      </c>
      <c r="DW11" s="3" t="s">
        <v>207</v>
      </c>
      <c r="DX11" s="3" t="s">
        <v>207</v>
      </c>
      <c r="DY11" s="3" t="s">
        <v>207</v>
      </c>
      <c r="DZ11" s="3" t="s">
        <v>207</v>
      </c>
      <c r="EA11" s="3" t="s">
        <v>643</v>
      </c>
      <c r="EB11" s="3" t="s">
        <v>193</v>
      </c>
      <c r="EC11" s="3" t="s">
        <v>644</v>
      </c>
      <c r="ED11" s="3" t="s">
        <v>645</v>
      </c>
      <c r="EE11" s="3" t="s">
        <v>646</v>
      </c>
      <c r="EF11" s="3" t="s">
        <v>647</v>
      </c>
      <c r="EG11" s="3" t="s">
        <v>648</v>
      </c>
      <c r="EH11" s="3" t="s">
        <v>649</v>
      </c>
      <c r="EI11" s="3" t="s">
        <v>650</v>
      </c>
      <c r="EJ11" s="3" t="s">
        <v>276</v>
      </c>
      <c r="EK11" s="3" t="s">
        <v>384</v>
      </c>
      <c r="EL11" s="3" t="s">
        <v>651</v>
      </c>
      <c r="EM11" s="3" t="s">
        <v>652</v>
      </c>
      <c r="EN11" s="3" t="s">
        <v>653</v>
      </c>
    </row>
    <row r="12" spans="1:144" ht="22.5" customHeight="1" x14ac:dyDescent="0.2">
      <c r="A12" s="2">
        <v>46212.486255069445</v>
      </c>
      <c r="B12" s="3" t="s">
        <v>654</v>
      </c>
      <c r="C12" s="3" t="s">
        <v>655</v>
      </c>
      <c r="D12" s="3" t="s">
        <v>656</v>
      </c>
      <c r="E12" s="3" t="s">
        <v>657</v>
      </c>
      <c r="F12" s="3" t="s">
        <v>658</v>
      </c>
      <c r="G12" s="3" t="s">
        <v>149</v>
      </c>
      <c r="H12" s="3" t="s">
        <v>150</v>
      </c>
      <c r="I12" s="4">
        <v>41532</v>
      </c>
      <c r="J12" s="3" t="s">
        <v>151</v>
      </c>
      <c r="L12" s="3" t="s">
        <v>659</v>
      </c>
      <c r="M12" s="3">
        <v>19</v>
      </c>
      <c r="N12" s="5" t="s">
        <v>533</v>
      </c>
      <c r="O12" s="3" t="s">
        <v>660</v>
      </c>
      <c r="P12" s="3" t="s">
        <v>661</v>
      </c>
      <c r="Q12" s="3" t="s">
        <v>535</v>
      </c>
      <c r="R12" s="3">
        <v>65152</v>
      </c>
      <c r="S12" s="3">
        <v>44</v>
      </c>
      <c r="T12" s="5" t="s">
        <v>662</v>
      </c>
      <c r="U12" s="3" t="s">
        <v>663</v>
      </c>
      <c r="V12" s="3" t="s">
        <v>664</v>
      </c>
      <c r="W12" s="3">
        <v>2</v>
      </c>
      <c r="X12" s="3" t="s">
        <v>665</v>
      </c>
      <c r="Y12" s="3" t="s">
        <v>666</v>
      </c>
      <c r="Z12" s="3" t="s">
        <v>666</v>
      </c>
      <c r="AA12" s="3" t="s">
        <v>667</v>
      </c>
      <c r="AB12" s="3" t="s">
        <v>161</v>
      </c>
      <c r="AC12" s="3" t="s">
        <v>162</v>
      </c>
      <c r="AD12" s="3" t="s">
        <v>445</v>
      </c>
      <c r="AE12" s="3">
        <v>41</v>
      </c>
      <c r="AF12" s="3">
        <v>158</v>
      </c>
      <c r="AG12" s="3" t="s">
        <v>238</v>
      </c>
      <c r="AH12" s="3" t="s">
        <v>165</v>
      </c>
      <c r="AI12" s="3" t="s">
        <v>239</v>
      </c>
      <c r="AJ12" s="3" t="s">
        <v>167</v>
      </c>
      <c r="AK12" s="3" t="s">
        <v>663</v>
      </c>
      <c r="AL12" s="3" t="s">
        <v>668</v>
      </c>
      <c r="AM12" s="4">
        <v>29708</v>
      </c>
      <c r="AN12" s="3" t="s">
        <v>669</v>
      </c>
      <c r="AO12" s="3" t="s">
        <v>659</v>
      </c>
      <c r="AP12" s="3">
        <v>19</v>
      </c>
      <c r="AQ12" s="5" t="s">
        <v>533</v>
      </c>
      <c r="AR12" s="3" t="s">
        <v>660</v>
      </c>
      <c r="AS12" s="3" t="s">
        <v>661</v>
      </c>
      <c r="AT12" s="3" t="s">
        <v>535</v>
      </c>
      <c r="AU12" s="3">
        <v>65125</v>
      </c>
      <c r="AV12" s="3" t="s">
        <v>161</v>
      </c>
      <c r="AW12" s="3" t="s">
        <v>670</v>
      </c>
      <c r="AX12" s="5" t="s">
        <v>671</v>
      </c>
      <c r="AY12" s="3" t="s">
        <v>672</v>
      </c>
      <c r="AZ12" s="3" t="s">
        <v>673</v>
      </c>
      <c r="BA12" s="3" t="s">
        <v>674</v>
      </c>
      <c r="BB12" s="3" t="s">
        <v>675</v>
      </c>
      <c r="BC12" s="5" t="s">
        <v>676</v>
      </c>
      <c r="BD12" s="3">
        <v>10</v>
      </c>
      <c r="BE12" s="3" t="s">
        <v>677</v>
      </c>
      <c r="BF12" s="3" t="s">
        <v>678</v>
      </c>
      <c r="BG12" s="3" t="s">
        <v>664</v>
      </c>
      <c r="BH12" s="3" t="s">
        <v>535</v>
      </c>
      <c r="BI12" s="4">
        <v>29233</v>
      </c>
      <c r="BJ12" s="3" t="s">
        <v>679</v>
      </c>
      <c r="BK12" s="3" t="s">
        <v>659</v>
      </c>
      <c r="BL12" s="3">
        <v>19</v>
      </c>
      <c r="BM12" s="5" t="s">
        <v>533</v>
      </c>
      <c r="BN12" s="3" t="s">
        <v>660</v>
      </c>
      <c r="BO12" s="3" t="s">
        <v>661</v>
      </c>
      <c r="BP12" s="3" t="s">
        <v>150</v>
      </c>
      <c r="BQ12" s="3">
        <v>651252</v>
      </c>
      <c r="BR12" s="3" t="s">
        <v>161</v>
      </c>
      <c r="BS12" s="3" t="s">
        <v>162</v>
      </c>
      <c r="BT12" s="5" t="s">
        <v>680</v>
      </c>
      <c r="BU12" s="3" t="s">
        <v>672</v>
      </c>
      <c r="BV12" s="3" t="s">
        <v>681</v>
      </c>
      <c r="BW12" s="3" t="s">
        <v>681</v>
      </c>
      <c r="BX12" s="3" t="s">
        <v>659</v>
      </c>
      <c r="BY12" s="6">
        <v>821217474452</v>
      </c>
      <c r="BZ12" s="3" t="s">
        <v>326</v>
      </c>
      <c r="CA12" s="3" t="s">
        <v>654</v>
      </c>
      <c r="CB12" s="3" t="s">
        <v>678</v>
      </c>
      <c r="CC12" s="3" t="s">
        <v>663</v>
      </c>
      <c r="CD12" s="3" t="s">
        <v>668</v>
      </c>
      <c r="CE12" s="4">
        <v>29708</v>
      </c>
      <c r="CF12" s="3" t="s">
        <v>682</v>
      </c>
      <c r="CG12" s="3" t="s">
        <v>659</v>
      </c>
      <c r="CH12" s="3">
        <v>19</v>
      </c>
      <c r="CI12" s="5" t="s">
        <v>533</v>
      </c>
      <c r="CJ12" s="3" t="s">
        <v>660</v>
      </c>
      <c r="CK12" s="3" t="s">
        <v>661</v>
      </c>
      <c r="CL12" s="3" t="s">
        <v>535</v>
      </c>
      <c r="CM12" s="3" t="s">
        <v>161</v>
      </c>
      <c r="CN12" s="3" t="s">
        <v>162</v>
      </c>
      <c r="CO12" s="5" t="s">
        <v>683</v>
      </c>
      <c r="CP12" s="3" t="s">
        <v>672</v>
      </c>
      <c r="CQ12" s="3" t="s">
        <v>673</v>
      </c>
      <c r="CR12" s="3" t="s">
        <v>675</v>
      </c>
      <c r="CS12" s="3" t="s">
        <v>675</v>
      </c>
      <c r="CT12" s="5" t="s">
        <v>671</v>
      </c>
      <c r="CU12" s="3">
        <v>10</v>
      </c>
      <c r="CV12" s="3" t="s">
        <v>684</v>
      </c>
      <c r="CW12" s="3" t="s">
        <v>678</v>
      </c>
      <c r="CX12" s="3" t="s">
        <v>186</v>
      </c>
      <c r="CY12" s="3" t="s">
        <v>685</v>
      </c>
      <c r="CZ12" s="3" t="s">
        <v>686</v>
      </c>
      <c r="DA12" s="3" t="s">
        <v>190</v>
      </c>
      <c r="DB12" s="3" t="s">
        <v>190</v>
      </c>
      <c r="DC12" s="3">
        <v>7</v>
      </c>
      <c r="DD12" s="3" t="s">
        <v>687</v>
      </c>
      <c r="DE12" s="3" t="s">
        <v>193</v>
      </c>
      <c r="DF12" s="3" t="s">
        <v>688</v>
      </c>
      <c r="DG12" s="3" t="s">
        <v>263</v>
      </c>
      <c r="DH12" s="3" t="s">
        <v>196</v>
      </c>
      <c r="DI12" s="3" t="s">
        <v>689</v>
      </c>
      <c r="DJ12" s="3" t="s">
        <v>198</v>
      </c>
      <c r="DK12" s="3" t="s">
        <v>199</v>
      </c>
      <c r="DL12" s="3" t="s">
        <v>564</v>
      </c>
      <c r="DM12" s="3" t="s">
        <v>265</v>
      </c>
      <c r="DN12" s="3" t="s">
        <v>202</v>
      </c>
      <c r="DO12" s="3" t="s">
        <v>466</v>
      </c>
      <c r="DP12" s="3" t="s">
        <v>204</v>
      </c>
      <c r="DQ12" s="3" t="s">
        <v>690</v>
      </c>
      <c r="DR12" s="3" t="s">
        <v>267</v>
      </c>
      <c r="DS12" s="3" t="s">
        <v>326</v>
      </c>
      <c r="DT12" s="3" t="s">
        <v>326</v>
      </c>
      <c r="DU12" s="3" t="s">
        <v>326</v>
      </c>
      <c r="DV12" s="3" t="s">
        <v>326</v>
      </c>
      <c r="DW12" s="3" t="s">
        <v>207</v>
      </c>
      <c r="DX12" s="3" t="s">
        <v>207</v>
      </c>
      <c r="DY12" s="3" t="s">
        <v>207</v>
      </c>
      <c r="DZ12" s="3" t="s">
        <v>207</v>
      </c>
      <c r="EA12" s="3" t="s">
        <v>268</v>
      </c>
      <c r="EB12" s="3" t="s">
        <v>193</v>
      </c>
      <c r="EC12" s="3" t="s">
        <v>515</v>
      </c>
      <c r="ED12" s="3" t="s">
        <v>691</v>
      </c>
      <c r="EE12" s="3" t="s">
        <v>692</v>
      </c>
      <c r="EF12" s="3" t="s">
        <v>693</v>
      </c>
      <c r="EG12" s="3" t="s">
        <v>694</v>
      </c>
      <c r="EH12" s="3" t="s">
        <v>695</v>
      </c>
      <c r="EI12" s="3" t="s">
        <v>696</v>
      </c>
      <c r="EJ12" s="3" t="s">
        <v>276</v>
      </c>
      <c r="EK12" s="3" t="s">
        <v>384</v>
      </c>
      <c r="EL12" s="3" t="s">
        <v>697</v>
      </c>
      <c r="EM12" s="3" t="s">
        <v>698</v>
      </c>
      <c r="EN12" s="3" t="s">
        <v>699</v>
      </c>
    </row>
    <row r="13" spans="1:144" ht="22.5" customHeight="1" x14ac:dyDescent="0.2">
      <c r="A13" s="2">
        <v>46212.836927118056</v>
      </c>
      <c r="B13" s="3" t="s">
        <v>700</v>
      </c>
      <c r="C13" s="3" t="s">
        <v>701</v>
      </c>
      <c r="D13" s="3" t="s">
        <v>702</v>
      </c>
      <c r="E13" s="3" t="s">
        <v>703</v>
      </c>
      <c r="F13" s="3" t="s">
        <v>704</v>
      </c>
      <c r="G13" s="3" t="s">
        <v>286</v>
      </c>
      <c r="H13" s="3" t="s">
        <v>226</v>
      </c>
      <c r="I13" s="4">
        <v>41552</v>
      </c>
      <c r="J13" s="3" t="s">
        <v>151</v>
      </c>
      <c r="L13" s="3" t="s">
        <v>705</v>
      </c>
      <c r="M13" s="5" t="s">
        <v>577</v>
      </c>
      <c r="N13" s="5" t="s">
        <v>346</v>
      </c>
      <c r="O13" s="3" t="s">
        <v>706</v>
      </c>
      <c r="P13" s="3" t="s">
        <v>155</v>
      </c>
      <c r="Q13" s="3" t="s">
        <v>156</v>
      </c>
      <c r="R13" s="3">
        <v>65142</v>
      </c>
      <c r="S13" s="5" t="s">
        <v>707</v>
      </c>
      <c r="T13" s="5" t="s">
        <v>708</v>
      </c>
      <c r="U13" s="3" t="s">
        <v>709</v>
      </c>
      <c r="V13" s="3" t="s">
        <v>710</v>
      </c>
      <c r="W13" s="3">
        <v>2</v>
      </c>
      <c r="X13" s="3">
        <v>2</v>
      </c>
      <c r="Y13" s="3">
        <v>2</v>
      </c>
      <c r="AA13" s="3" t="s">
        <v>160</v>
      </c>
      <c r="AB13" s="3" t="s">
        <v>161</v>
      </c>
      <c r="AC13" s="3" t="s">
        <v>162</v>
      </c>
      <c r="AD13" s="3" t="s">
        <v>163</v>
      </c>
      <c r="AE13" s="3">
        <v>60</v>
      </c>
      <c r="AF13" s="3">
        <v>155</v>
      </c>
      <c r="AG13" s="3" t="s">
        <v>164</v>
      </c>
      <c r="AH13" s="3" t="s">
        <v>165</v>
      </c>
      <c r="AI13" s="3" t="s">
        <v>239</v>
      </c>
      <c r="AJ13" s="3" t="s">
        <v>167</v>
      </c>
      <c r="AK13" s="3" t="s">
        <v>709</v>
      </c>
      <c r="AL13" s="3" t="s">
        <v>711</v>
      </c>
      <c r="AM13" s="4">
        <v>25747</v>
      </c>
      <c r="AN13" s="3" t="s">
        <v>712</v>
      </c>
      <c r="AO13" s="3" t="s">
        <v>713</v>
      </c>
      <c r="AP13" s="5" t="s">
        <v>577</v>
      </c>
      <c r="AQ13" s="5" t="s">
        <v>346</v>
      </c>
      <c r="AR13" s="3" t="s">
        <v>706</v>
      </c>
      <c r="AS13" s="3" t="s">
        <v>714</v>
      </c>
      <c r="AT13" s="3" t="s">
        <v>156</v>
      </c>
      <c r="AU13" s="3">
        <v>65142</v>
      </c>
      <c r="AV13" s="3" t="s">
        <v>161</v>
      </c>
      <c r="AW13" s="3" t="s">
        <v>162</v>
      </c>
      <c r="AX13" s="5" t="s">
        <v>715</v>
      </c>
      <c r="AY13" s="3" t="s">
        <v>672</v>
      </c>
      <c r="AZ13" s="3" t="s">
        <v>500</v>
      </c>
      <c r="BA13" s="3" t="s">
        <v>716</v>
      </c>
      <c r="BB13" s="3" t="s">
        <v>717</v>
      </c>
      <c r="BC13" s="5" t="s">
        <v>715</v>
      </c>
      <c r="BD13" s="3" t="s">
        <v>718</v>
      </c>
      <c r="BE13" s="3" t="s">
        <v>719</v>
      </c>
      <c r="BF13" s="3" t="s">
        <v>720</v>
      </c>
      <c r="BG13" s="3" t="s">
        <v>721</v>
      </c>
      <c r="BH13" s="3" t="s">
        <v>226</v>
      </c>
      <c r="BI13" s="4">
        <v>27611</v>
      </c>
      <c r="BJ13" s="3" t="s">
        <v>152</v>
      </c>
      <c r="BK13" s="3" t="s">
        <v>152</v>
      </c>
      <c r="BL13" s="3" t="s">
        <v>152</v>
      </c>
      <c r="BM13" s="3" t="s">
        <v>152</v>
      </c>
      <c r="BN13" s="3" t="s">
        <v>152</v>
      </c>
      <c r="BO13" s="3" t="s">
        <v>152</v>
      </c>
      <c r="BP13" s="3" t="s">
        <v>152</v>
      </c>
      <c r="BQ13" s="3" t="s">
        <v>152</v>
      </c>
      <c r="BR13" s="3" t="s">
        <v>161</v>
      </c>
      <c r="BS13" s="3" t="s">
        <v>162</v>
      </c>
      <c r="BT13" s="3" t="s">
        <v>152</v>
      </c>
      <c r="BU13" s="3" t="s">
        <v>309</v>
      </c>
      <c r="BV13" s="3" t="s">
        <v>152</v>
      </c>
      <c r="BW13" s="3" t="s">
        <v>152</v>
      </c>
      <c r="BX13" s="3" t="s">
        <v>152</v>
      </c>
      <c r="BY13" s="3" t="s">
        <v>152</v>
      </c>
      <c r="BZ13" s="3" t="s">
        <v>152</v>
      </c>
      <c r="CA13" s="3" t="s">
        <v>152</v>
      </c>
      <c r="CB13" s="3" t="s">
        <v>152</v>
      </c>
      <c r="CC13" s="3" t="s">
        <v>722</v>
      </c>
      <c r="CD13" s="3" t="s">
        <v>226</v>
      </c>
      <c r="CE13" s="4">
        <v>37481</v>
      </c>
      <c r="CF13" s="3" t="s">
        <v>723</v>
      </c>
      <c r="CG13" s="3" t="s">
        <v>713</v>
      </c>
      <c r="CH13" s="5" t="s">
        <v>577</v>
      </c>
      <c r="CI13" s="5" t="s">
        <v>346</v>
      </c>
      <c r="CJ13" s="3" t="s">
        <v>706</v>
      </c>
      <c r="CK13" s="3" t="s">
        <v>155</v>
      </c>
      <c r="CL13" s="3" t="s">
        <v>156</v>
      </c>
      <c r="CM13" s="3" t="s">
        <v>161</v>
      </c>
      <c r="CN13" s="3" t="s">
        <v>162</v>
      </c>
      <c r="CO13" s="5" t="s">
        <v>707</v>
      </c>
      <c r="CP13" s="3" t="s">
        <v>309</v>
      </c>
      <c r="CQ13" s="3" t="s">
        <v>500</v>
      </c>
      <c r="CR13" s="3" t="s">
        <v>724</v>
      </c>
      <c r="CS13" s="3" t="s">
        <v>713</v>
      </c>
      <c r="CT13" s="5" t="s">
        <v>707</v>
      </c>
      <c r="CU13" s="3" t="s">
        <v>725</v>
      </c>
      <c r="CV13" s="3" t="s">
        <v>700</v>
      </c>
      <c r="CX13" s="3" t="s">
        <v>186</v>
      </c>
      <c r="CY13" s="3" t="s">
        <v>726</v>
      </c>
      <c r="CZ13" s="3" t="s">
        <v>727</v>
      </c>
      <c r="DA13" s="3" t="s">
        <v>189</v>
      </c>
      <c r="DB13" s="3" t="s">
        <v>190</v>
      </c>
      <c r="DC13" s="3" t="s">
        <v>728</v>
      </c>
      <c r="DD13" s="3" t="s">
        <v>152</v>
      </c>
      <c r="DE13" s="3" t="s">
        <v>193</v>
      </c>
      <c r="DF13" s="3" t="s">
        <v>195</v>
      </c>
      <c r="DG13" s="3" t="s">
        <v>194</v>
      </c>
      <c r="DH13" s="3" t="s">
        <v>196</v>
      </c>
      <c r="DI13" s="3" t="s">
        <v>729</v>
      </c>
      <c r="DJ13" s="3" t="s">
        <v>198</v>
      </c>
      <c r="DK13" s="3" t="s">
        <v>199</v>
      </c>
      <c r="DL13" s="3" t="s">
        <v>201</v>
      </c>
      <c r="DM13" s="3" t="s">
        <v>201</v>
      </c>
      <c r="DN13" s="3" t="s">
        <v>640</v>
      </c>
      <c r="DO13" s="3" t="s">
        <v>466</v>
      </c>
      <c r="DP13" s="3" t="s">
        <v>204</v>
      </c>
      <c r="DQ13" s="3" t="s">
        <v>205</v>
      </c>
      <c r="DR13" s="3" t="s">
        <v>267</v>
      </c>
      <c r="DS13" s="3" t="s">
        <v>720</v>
      </c>
      <c r="DT13" s="3" t="s">
        <v>720</v>
      </c>
      <c r="DU13" s="3" t="s">
        <v>720</v>
      </c>
      <c r="DV13" s="3" t="s">
        <v>720</v>
      </c>
      <c r="DW13" s="3" t="s">
        <v>201</v>
      </c>
      <c r="DX13" s="3" t="s">
        <v>207</v>
      </c>
      <c r="DY13" s="3" t="s">
        <v>207</v>
      </c>
      <c r="DZ13" s="3" t="s">
        <v>207</v>
      </c>
      <c r="EA13" s="3" t="s">
        <v>730</v>
      </c>
      <c r="EB13" s="3" t="s">
        <v>201</v>
      </c>
      <c r="EC13" s="3" t="s">
        <v>731</v>
      </c>
      <c r="ED13" s="3" t="s">
        <v>732</v>
      </c>
      <c r="EE13" s="3" t="s">
        <v>720</v>
      </c>
      <c r="EF13" s="3" t="s">
        <v>733</v>
      </c>
      <c r="EG13" s="3" t="s">
        <v>734</v>
      </c>
      <c r="EH13" s="3" t="s">
        <v>735</v>
      </c>
      <c r="EI13" s="3" t="s">
        <v>736</v>
      </c>
      <c r="EJ13" s="3" t="s">
        <v>737</v>
      </c>
      <c r="EK13" s="3" t="s">
        <v>738</v>
      </c>
      <c r="EL13" s="3" t="s">
        <v>739</v>
      </c>
      <c r="EM13" s="3" t="s">
        <v>740</v>
      </c>
      <c r="EN13" s="3" t="s">
        <v>741</v>
      </c>
    </row>
    <row r="14" spans="1:144" ht="21.75" customHeight="1" x14ac:dyDescent="0.2"/>
    <row r="15" spans="1:144" ht="21.75" customHeight="1" x14ac:dyDescent="0.2"/>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MASTER</vt:lpstr>
      <vt:lpstr>GF</vt:lpstr>
      <vt:lpstr>MASTER!_FilterDatabase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IHWAN</cp:lastModifiedBy>
  <dcterms:modified xsi:type="dcterms:W3CDTF">2026-10-21T14:34:25Z</dcterms:modified>
</cp:coreProperties>
</file>